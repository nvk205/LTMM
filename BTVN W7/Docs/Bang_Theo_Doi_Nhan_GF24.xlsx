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_Phong_Tung_Buoc" sheetId="1" state="visible" r:id="rId1"/>
    <sheet xmlns:r="http://schemas.openxmlformats.org/officeDocument/2006/relationships" name="Kich_Ban_Kiem_Thu" sheetId="2" state="visible" r:id="rId2"/>
    <sheet xmlns:r="http://schemas.openxmlformats.org/officeDocument/2006/relationships" name="Bang_Nhan_16x16" sheetId="3" state="visible" r:id="rId3"/>
    <sheet xmlns:r="http://schemas.openxmlformats.org/officeDocument/2006/relationships" name="Bang_Tra_Cu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10"/>
    </font>
    <font>
      <name val="Calibri"/>
      <b val="1"/>
      <color rgb="00FFFFFF"/>
      <sz val="10"/>
    </font>
    <font>
      <name val="Calibri"/>
      <color rgb="001E293B"/>
      <sz val="10"/>
    </font>
    <font>
      <name val="Consolas"/>
      <color rgb="000F172A"/>
      <sz val="10"/>
    </font>
    <font>
      <name val="Calibri"/>
      <b val="1"/>
      <color rgb="00FFFFFF"/>
      <sz val="11"/>
    </font>
    <font>
      <name val="Consolas"/>
      <b val="1"/>
      <color rgb="000F172A"/>
      <sz val="10"/>
    </font>
    <font>
      <name val="Calibri"/>
      <b val="1"/>
      <color rgb="001D4ED8"/>
      <sz val="11"/>
    </font>
    <font>
      <name val="Calibri"/>
      <b val="1"/>
      <color rgb="001E293B"/>
      <sz val="10"/>
    </font>
    <font>
      <name val="Calibri"/>
      <i val="1"/>
      <color rgb="0064748B"/>
      <sz val="9"/>
    </font>
    <font>
      <name val="Calibri"/>
      <b val="1"/>
      <color rgb="00065F46"/>
      <sz val="11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E2E8F0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334155"/>
      </top>
      <bottom style="medium">
        <color rgb="00334155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medium">
        <color rgb="00059669"/>
      </left>
      <right style="medium">
        <color rgb="00059669"/>
      </right>
      <top style="medium">
        <color rgb="00059669"/>
      </top>
      <bottom style="medium">
        <color rgb="0005966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11" fillId="8" borderId="4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righ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11" fillId="8" borderId="4" applyAlignment="1" pivotButton="0" quotePrefix="0" xfId="0">
      <alignment horizontal="right" vertical="center" wrapText="1"/>
    </xf>
    <xf numFmtId="0" fontId="11" fillId="8" borderId="4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9" fillId="9" borderId="1" pivotButton="0" quotePrefix="0" xfId="0"/>
  </cellXfs>
  <cellStyles count="1">
    <cellStyle name="Normal" xfId="0" builtinId="0" hidden="0"/>
  </cellStyles>
  <dxfs count="3">
    <dxf>
      <font>
        <name val="Calibri"/>
        <b val="1"/>
        <color rgb="00065F46"/>
        <sz val="10"/>
      </font>
      <fill>
        <patternFill patternType="solid">
          <fgColor rgb="00D1FAE5"/>
        </patternFill>
      </fill>
    </dxf>
    <dxf>
      <font>
        <name val="Calibri"/>
        <b val="1"/>
        <color rgb="0092400E"/>
        <sz val="10"/>
      </font>
      <fill>
        <patternFill patternType="solid">
          <fgColor rgb="00FEF3C7"/>
        </patternFill>
      </fill>
    </dxf>
    <dxf>
      <font>
        <name val="Calibri"/>
        <color rgb="0094A3B8"/>
        <sz val="10"/>
      </font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Diễn biến giá trị các biến qua 4 vòng lặp (Minh họa Dịch trái &amp; Hạ bậc Modulo)</a:t>
            </a:r>
          </a:p>
        </rich>
      </tx>
    </title>
    <plotArea>
      <lineChart>
        <grouping val="standard"/>
        <ser>
          <idx val="0"/>
          <order val="0"/>
          <tx>
            <strRef>
              <f>'Mo_Phong_Tung_Buoc'!B11</f>
            </strRef>
          </tx>
          <spPr>
            <a:ln xmlns:a="http://schemas.openxmlformats.org/drawingml/2006/main" w="26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'Mo_Phong_Tung_Buoc'!$A$12:$A$15</f>
            </numRef>
          </cat>
          <val>
            <numRef>
              <f>'Mo_Phong_Tung_Buoc'!$B$12:$B$15</f>
            </numRef>
          </val>
          <smooth val="0"/>
        </ser>
        <ser>
          <idx val="1"/>
          <order val="1"/>
          <tx>
            <strRef>
              <f>'Mo_Phong_Tung_Buoc'!H11</f>
            </strRef>
          </tx>
          <spPr>
            <a:ln xmlns:a="http://schemas.openxmlformats.org/drawingml/2006/main" w="26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'Mo_Phong_Tung_Buoc'!$A$12:$A$15</f>
            </numRef>
          </cat>
          <val>
            <numRef>
              <f>'Mo_Phong_Tung_Buoc'!$H$12:$H$15</f>
            </numRef>
          </val>
          <smooth val="0"/>
        </ser>
        <ser>
          <idx val="2"/>
          <order val="2"/>
          <tx>
            <strRef>
              <f>'Mo_Phong_Tung_Buoc'!J11</f>
            </strRef>
          </tx>
          <spPr>
            <a:ln xmlns:a="http://schemas.openxmlformats.org/drawingml/2006/main" w="26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'Mo_Phong_Tung_Buoc'!$A$12:$A$15</f>
            </numRef>
          </cat>
          <val>
            <numRef>
              <f>'Mo_Phong_Tung_Buoc'!$J$12:$J$15</f>
            </numRef>
          </val>
          <smooth val="0"/>
        </ser>
        <ser>
          <idx val="3"/>
          <order val="3"/>
          <tx>
            <strRef>
              <f>'Mo_Phong_Tung_Buoc'!M11</f>
            </strRef>
          </tx>
          <spPr>
            <a:ln xmlns:a="http://schemas.openxmlformats.org/drawingml/2006/main" w="26000">
              <a:solidFill>
                <a:srgbClr val="7C3AE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'Mo_Phong_Tung_Buoc'!$A$12:$A$15</f>
            </numRef>
          </cat>
          <val>
            <numRef>
              <f>'Mo_Phong_Tung_Buoc'!$M$12:$M$15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Chỉ số vòng lặp (i)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Giá trị thập phân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Tần suất xuất hiện kết quả trong nhóm nhân GF(2^4)* (15x15)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'Bang_Nhan_16x16'!W5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'Bang_Nhan_16x16'!$T$6:$T$21</f>
            </numRef>
          </cat>
          <val>
            <numRef>
              <f>'Bang_Nhan_16x16'!$W$6:$W$21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Giá trị phần tử (0..15)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lần xuất hiện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64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3" customWidth="1" min="4" max="4"/>
    <col width="13" customWidth="1" min="5" max="5"/>
    <col width="22" customWidth="1" min="6" max="6"/>
    <col width="26" customWidth="1" min="7" max="7"/>
    <col width="15" customWidth="1" min="8" max="8"/>
    <col width="14" customWidth="1" min="9" max="9"/>
    <col width="14" customWidth="1" min="10" max="10"/>
    <col width="14" customWidth="1" min="11" max="11"/>
    <col width="20" customWidth="1" min="12" max="12"/>
    <col width="15" customWidth="1" min="13" max="13"/>
    <col width="14" customWidth="1" min="14" max="14"/>
    <col width="50" customWidth="1" min="15" max="15"/>
  </cols>
  <sheetData>
    <row r="1" ht="32" customHeight="1">
      <c r="A1" s="1" t="inlineStr">
        <is>
          <t>BẢNG THEO DÕI QUÁ TRÌNH TÍNH TOÁN PHÉP NHÂN ĐA THỨC TRONG GF(2^4)</t>
        </is>
      </c>
    </row>
    <row r="2" ht="22" customHeight="1">
      <c r="A2" s="2" t="inlineStr">
        <is>
          <t>Mô phỏng trực tiếp từng câu lệnh trong hàm C gf24_multiply() — Thay đổi giá trị tại cột C (ô viền xanh) để xem kết quả cập nhật tức thì</t>
        </is>
      </c>
    </row>
    <row r="4" ht="25" customHeight="1">
      <c r="A4" s="3" t="inlineStr">
        <is>
          <t>1. THAM SỐ ĐẦU VÀO CỦA CHƯƠNG TRÌNH (NHẬP DỮ LIỆU TẠI CỘT C)</t>
        </is>
      </c>
      <c r="I4" s="3" t="inlineStr">
        <is>
          <t>2. KẾT QUẢ ĐẦU RA TỔNG HỢP (R = A ⊗ B mod m)</t>
        </is>
      </c>
    </row>
    <row r="5" ht="26" customHeight="1">
      <c r="A5" s="4" t="inlineStr">
        <is>
          <t>Tham số toán học</t>
        </is>
      </c>
      <c r="B5" s="4" t="inlineStr">
        <is>
          <t>Tên biến trong C</t>
        </is>
      </c>
      <c r="C5" s="4" t="inlineStr">
        <is>
          <t>Giá trị (Nhập)</t>
        </is>
      </c>
      <c r="D5" s="4" t="inlineStr">
        <is>
          <t>Mã Hex</t>
        </is>
      </c>
      <c r="E5" s="4" t="inlineStr">
        <is>
          <t>Dạng nhị phân</t>
        </is>
      </c>
      <c r="F5" s="4" t="inlineStr">
        <is>
          <t>Biểu diễn đa thức</t>
        </is>
      </c>
      <c r="G5" s="4" t="inlineStr">
        <is>
          <t>Hướng dẫn nhập</t>
        </is>
      </c>
      <c r="I5" s="4" t="inlineStr">
        <is>
          <t>Thập phân</t>
        </is>
      </c>
      <c r="J5" s="4" t="inlineStr">
        <is>
          <t>Mã Hex</t>
        </is>
      </c>
      <c r="K5" s="4" t="inlineStr">
        <is>
          <t>Nhị phân 4-bit</t>
        </is>
      </c>
      <c r="L5" s="4" t="inlineStr">
        <is>
          <t>Đa thức kết quả R(x)</t>
        </is>
      </c>
      <c r="M5" s="4" t="inlineStr">
        <is>
          <t>Đẳng thức kiểm chứng trên GF(2^4)</t>
        </is>
      </c>
      <c r="N5" s="5" t="n"/>
      <c r="O5" s="5" t="n"/>
    </row>
    <row r="6" ht="24" customHeight="1">
      <c r="A6" s="6" t="inlineStr">
        <is>
          <t>Đa thức nhân thứ nhất A(x)</t>
        </is>
      </c>
      <c r="B6" s="7" t="inlineStr">
        <is>
          <t>a</t>
        </is>
      </c>
      <c r="C6" s="8" t="n">
        <v>10</v>
      </c>
      <c r="D6" s="7">
        <f>INDEX(Bang_Tra_Cuu!$B$5:$B$20, C6+1)</f>
        <v/>
      </c>
      <c r="E6" s="7">
        <f>MOD(INT(C6/8),2)&amp;MOD(INT(C6/4),2)&amp;MOD(INT(C6/2),2)&amp;MOD(C6,2)</f>
        <v/>
      </c>
      <c r="F6" s="9">
        <f>INDEX(Bang_Tra_Cuu!$D$5:$D$20, C6+1)</f>
        <v/>
      </c>
      <c r="G6" s="10" t="inlineStr">
        <is>
          <t>Nhập số nguyên 0 .. 15</t>
        </is>
      </c>
      <c r="I6" s="11">
        <f>H15</f>
        <v/>
      </c>
      <c r="J6" s="12">
        <f>INDEX(Bang_Tra_Cuu!$B$5:$B$20, H15+1)</f>
        <v/>
      </c>
      <c r="K6" s="12">
        <f>I15</f>
        <v/>
      </c>
      <c r="L6" s="11">
        <f>INDEX(Bang_Tra_Cuu!$D$5:$D$20, H15+1)</f>
        <v/>
      </c>
      <c r="M6" s="11">
        <f>"(" &amp; F6 &amp; ") ⊗ (" &amp; F7 &amp; ") mod (" &amp; F8 &amp; ") = " &amp; L6</f>
        <v/>
      </c>
      <c r="N6" s="11" t="n"/>
      <c r="O6" s="11" t="n"/>
    </row>
    <row r="7" ht="24" customHeight="1">
      <c r="A7" s="6" t="inlineStr">
        <is>
          <t>Đa thức nhân thứ hai B(x)</t>
        </is>
      </c>
      <c r="B7" s="7" t="inlineStr">
        <is>
          <t>b</t>
        </is>
      </c>
      <c r="C7" s="8" t="n">
        <v>5</v>
      </c>
      <c r="D7" s="7">
        <f>INDEX(Bang_Tra_Cuu!$B$5:$B$20, C7+1)</f>
        <v/>
      </c>
      <c r="E7" s="7">
        <f>MOD(INT(C7/8),2)&amp;MOD(INT(C7/4),2)&amp;MOD(INT(C7/2),2)&amp;MOD(C7,2)</f>
        <v/>
      </c>
      <c r="F7" s="9">
        <f>INDEX(Bang_Tra_Cuu!$D$5:$D$20, C7+1)</f>
        <v/>
      </c>
      <c r="G7" s="10" t="inlineStr">
        <is>
          <t>Nhập số nguyên 0 .. 15</t>
        </is>
      </c>
      <c r="I7" s="11" t="n"/>
      <c r="J7" s="12" t="n"/>
      <c r="K7" s="12" t="n"/>
      <c r="L7" s="11" t="n"/>
      <c r="M7" s="11" t="n"/>
      <c r="N7" s="11" t="n"/>
      <c r="O7" s="11" t="n"/>
    </row>
    <row r="8" ht="24" customHeight="1">
      <c r="A8" s="6" t="inlineStr">
        <is>
          <t>Đa thức tối giản m(x)</t>
        </is>
      </c>
      <c r="B8" s="7" t="inlineStr">
        <is>
          <t>mod_poly</t>
        </is>
      </c>
      <c r="C8" s="8" t="n">
        <v>19</v>
      </c>
      <c r="D8" s="7">
        <f>INDEX(Bang_Tra_Cuu!$B$24:$B$26, MATCH(C8, Bang_Tra_Cuu!$A$24:$A$26, 0))</f>
        <v/>
      </c>
      <c r="E8" s="7">
        <f>MOD(INT(C8/16),2)&amp;MOD(INT(C8/8),2)&amp;MOD(INT(C8/4),2)&amp;MOD(INT(C8/2),2)&amp;MOD(C8,2)</f>
        <v/>
      </c>
      <c r="F8" s="9">
        <f>INDEX(Bang_Tra_Cuu!$D$24:$D$26, MATCH(C8, Bang_Tra_Cuu!$A$24:$A$26, 0))</f>
        <v/>
      </c>
      <c r="G8" s="10" t="inlineStr">
        <is>
          <t>Chọn từ danh sách: 19, 25, 31</t>
        </is>
      </c>
      <c r="I8" s="11" t="n"/>
      <c r="J8" s="12" t="n"/>
      <c r="K8" s="12" t="n"/>
      <c r="L8" s="11" t="n"/>
      <c r="M8" s="11" t="n"/>
      <c r="N8" s="11" t="n"/>
      <c r="O8" s="11" t="n"/>
    </row>
    <row r="10" ht="25" customHeight="1">
      <c r="A10" s="3" t="inlineStr">
        <is>
          <t>3. BẢNG THEO DÕI TRẠNG THÁI BIẾN QUA 4 VÒNG LẶP (for i = 0; i &lt; 4; i++)</t>
        </is>
      </c>
    </row>
    <row r="11" ht="34" customHeight="1">
      <c r="A11" s="4" t="inlineStr">
        <is>
          <t>Bước lặp
(i)</t>
        </is>
      </c>
      <c r="B11" s="4" t="inlineStr">
        <is>
          <t>a đầu vào
(a_in)</t>
        </is>
      </c>
      <c r="C11" s="4" t="inlineStr">
        <is>
          <t>a_in
(Nhị phân)</t>
        </is>
      </c>
      <c r="D11" s="4" t="inlineStr">
        <is>
          <t>b đầu vào
(b_in)</t>
        </is>
      </c>
      <c r="E11" s="4" t="inlineStr">
        <is>
          <t>b_in
(Nhị phân)</t>
        </is>
      </c>
      <c r="F11" s="4" t="inlineStr">
        <is>
          <t>result đầu
(result_in)</t>
        </is>
      </c>
      <c r="G11" s="4" t="inlineStr">
        <is>
          <t>Bit cuối b
(b &amp; 1)</t>
        </is>
      </c>
      <c r="H11" s="4" t="inlineStr">
        <is>
          <t>result sau XOR
(result mới)</t>
        </is>
      </c>
      <c r="I11" s="4" t="inlineStr">
        <is>
          <t>result mới
(Nhị phân)</t>
        </is>
      </c>
      <c r="J11" s="4" t="inlineStr">
        <is>
          <t>Dịch trái a
(a &lt;&lt; 1)</t>
        </is>
      </c>
      <c r="K11" s="4" t="inlineStr">
        <is>
          <t>a &lt;&lt; 1
(5-bit)</t>
        </is>
      </c>
      <c r="L11" s="4" t="inlineStr">
        <is>
          <t>Tràn bậc 4?
(a &amp; 16)</t>
        </is>
      </c>
      <c r="M11" s="4" t="inlineStr">
        <is>
          <t>a cuối bước
(a_out)</t>
        </is>
      </c>
      <c r="N11" s="4" t="inlineStr">
        <is>
          <t>Dịch phải b
(b &gt;&gt; 1)</t>
        </is>
      </c>
      <c r="O11" s="4" t="inlineStr">
        <is>
          <t>Giải thích câu lệnh C thực thi ở bước i</t>
        </is>
      </c>
    </row>
    <row r="12" ht="26" customHeight="1">
      <c r="A12" s="13" t="n">
        <v>0</v>
      </c>
      <c r="B12" s="14">
        <f>C6</f>
        <v/>
      </c>
      <c r="C12" s="15">
        <f>MOD(INT(B12/8),2)&amp;MOD(INT(B12/4),2)&amp;MOD(INT(B12/2),2)&amp;MOD(B12,2)</f>
        <v/>
      </c>
      <c r="D12" s="14">
        <f>C7</f>
        <v/>
      </c>
      <c r="E12" s="15">
        <f>MOD(INT(D12/8),2)&amp;MOD(INT(D12/4),2)&amp;MOD(INT(D12/2),2)&amp;MOD(D12,2)</f>
        <v/>
      </c>
      <c r="F12" s="14" t="n">
        <v>0</v>
      </c>
      <c r="G12" s="14">
        <f>MOD(D12, 2)</f>
        <v/>
      </c>
      <c r="H12" s="13">
        <f>IF(G12=1, (MOD(INT(F12/8)+INT(B12/8),2)*8+MOD(INT(F12/4)+INT(B12/4),2)*4+MOD(INT(F12/2)+INT(B12/2),2)*2+MOD(F12+B12,2)), F12)</f>
        <v/>
      </c>
      <c r="I12" s="15">
        <f>MOD(INT(H12/8),2)&amp;MOD(INT(H12/4),2)&amp;MOD(INT(H12/2),2)&amp;MOD(H12,2)</f>
        <v/>
      </c>
      <c r="J12" s="14">
        <f>B12*2</f>
        <v/>
      </c>
      <c r="K12" s="15">
        <f>MOD(INT(J12/16),2)&amp;MOD(INT(J12/8),2)&amp;MOD(INT(J12/4),2)&amp;MOD(INT(J12/2),2)&amp;MOD(J12,2)</f>
        <v/>
      </c>
      <c r="L12" s="14">
        <f>IF(J12&gt;=16, 1, 0)</f>
        <v/>
      </c>
      <c r="M12" s="13">
        <f>IF(L12=1, (MOD(INT(J12/16)+INT($C$8/16),2)*16+MOD(INT(J12/8)+INT($C$8/8),2)*8+MOD(INT(J12/4)+INT($C$8/4),2)*4+MOD(INT(J12/2)+INT($C$8/2),2)*2+MOD(J12+$C$8,2)), J12)</f>
        <v/>
      </c>
      <c r="N12" s="14">
        <f>INT(D12/2)</f>
        <v/>
      </c>
      <c r="O12" s="6">
        <f>IF(G12=1, "b&amp;1=1 -&gt; result ^= a ("&amp;F12&amp;"^"&amp;B12&amp;"="&amp;H12&amp;"); ", "b&amp;1=0 -&gt; Giữ result="&amp;H12&amp;"; ")&amp;IF(L12=1, "a&lt;&lt;1="&amp;J12&amp;" (&gt;=16, tràn) -&gt; a ^= m =&gt; "&amp;M12, "a&lt;&lt;1="&amp;J12&amp;" (&lt;16, ko tràn) =&gt; a="&amp;M12)</f>
        <v/>
      </c>
    </row>
    <row r="13" ht="26" customHeight="1">
      <c r="A13" s="16" t="n">
        <v>1</v>
      </c>
      <c r="B13" s="17">
        <f>M12</f>
        <v/>
      </c>
      <c r="C13" s="18">
        <f>MOD(INT(B13/8),2)&amp;MOD(INT(B13/4),2)&amp;MOD(INT(B13/2),2)&amp;MOD(B13,2)</f>
        <v/>
      </c>
      <c r="D13" s="17">
        <f>N12</f>
        <v/>
      </c>
      <c r="E13" s="18">
        <f>MOD(INT(D13/8),2)&amp;MOD(INT(D13/4),2)&amp;MOD(INT(D13/2),2)&amp;MOD(D13,2)</f>
        <v/>
      </c>
      <c r="F13" s="17">
        <f>H12</f>
        <v/>
      </c>
      <c r="G13" s="17">
        <f>MOD(D13, 2)</f>
        <v/>
      </c>
      <c r="H13" s="16">
        <f>IF(G13=1, (MOD(INT(F13/8)+INT(B13/8),2)*8+MOD(INT(F13/4)+INT(B13/4),2)*4+MOD(INT(F13/2)+INT(B13/2),2)*2+MOD(F13+B13,2)), F13)</f>
        <v/>
      </c>
      <c r="I13" s="18">
        <f>MOD(INT(H13/8),2)&amp;MOD(INT(H13/4),2)&amp;MOD(INT(H13/2),2)&amp;MOD(H13,2)</f>
        <v/>
      </c>
      <c r="J13" s="17">
        <f>B13*2</f>
        <v/>
      </c>
      <c r="K13" s="18">
        <f>MOD(INT(J13/16),2)&amp;MOD(INT(J13/8),2)&amp;MOD(INT(J13/4),2)&amp;MOD(INT(J13/2),2)&amp;MOD(J13,2)</f>
        <v/>
      </c>
      <c r="L13" s="17">
        <f>IF(J13&gt;=16, 1, 0)</f>
        <v/>
      </c>
      <c r="M13" s="16">
        <f>IF(L13=1, (MOD(INT(J13/16)+INT($C$8/16),2)*16+MOD(INT(J13/8)+INT($C$8/8),2)*8+MOD(INT(J13/4)+INT($C$8/4),2)*4+MOD(INT(J13/2)+INT($C$8/2),2)*2+MOD(J13+$C$8,2)), J13)</f>
        <v/>
      </c>
      <c r="N13" s="17">
        <f>INT(D13/2)</f>
        <v/>
      </c>
      <c r="O13" s="19">
        <f>IF(G13=1, "b&amp;1=1 -&gt; result ^= a ("&amp;F13&amp;"^"&amp;B13&amp;"="&amp;H13&amp;"); ", "b&amp;1=0 -&gt; Giữ result="&amp;H13&amp;"; ")&amp;IF(L13=1, "a&lt;&lt;1="&amp;J13&amp;" (&gt;=16, tràn) -&gt; a ^= m =&gt; "&amp;M13, "a&lt;&lt;1="&amp;J13&amp;" (&lt;16, ko tràn) =&gt; a="&amp;M13)</f>
        <v/>
      </c>
    </row>
    <row r="14" ht="26" customHeight="1">
      <c r="A14" s="13" t="n">
        <v>2</v>
      </c>
      <c r="B14" s="14">
        <f>M13</f>
        <v/>
      </c>
      <c r="C14" s="15">
        <f>MOD(INT(B14/8),2)&amp;MOD(INT(B14/4),2)&amp;MOD(INT(B14/2),2)&amp;MOD(B14,2)</f>
        <v/>
      </c>
      <c r="D14" s="14">
        <f>N13</f>
        <v/>
      </c>
      <c r="E14" s="15">
        <f>MOD(INT(D14/8),2)&amp;MOD(INT(D14/4),2)&amp;MOD(INT(D14/2),2)&amp;MOD(D14,2)</f>
        <v/>
      </c>
      <c r="F14" s="14">
        <f>H13</f>
        <v/>
      </c>
      <c r="G14" s="14">
        <f>MOD(D14, 2)</f>
        <v/>
      </c>
      <c r="H14" s="13">
        <f>IF(G14=1, (MOD(INT(F14/8)+INT(B14/8),2)*8+MOD(INT(F14/4)+INT(B14/4),2)*4+MOD(INT(F14/2)+INT(B14/2),2)*2+MOD(F14+B14,2)), F14)</f>
        <v/>
      </c>
      <c r="I14" s="15">
        <f>MOD(INT(H14/8),2)&amp;MOD(INT(H14/4),2)&amp;MOD(INT(H14/2),2)&amp;MOD(H14,2)</f>
        <v/>
      </c>
      <c r="J14" s="14">
        <f>B14*2</f>
        <v/>
      </c>
      <c r="K14" s="15">
        <f>MOD(INT(J14/16),2)&amp;MOD(INT(J14/8),2)&amp;MOD(INT(J14/4),2)&amp;MOD(INT(J14/2),2)&amp;MOD(J14,2)</f>
        <v/>
      </c>
      <c r="L14" s="14">
        <f>IF(J14&gt;=16, 1, 0)</f>
        <v/>
      </c>
      <c r="M14" s="13">
        <f>IF(L14=1, (MOD(INT(J14/16)+INT($C$8/16),2)*16+MOD(INT(J14/8)+INT($C$8/8),2)*8+MOD(INT(J14/4)+INT($C$8/4),2)*4+MOD(INT(J14/2)+INT($C$8/2),2)*2+MOD(J14+$C$8,2)), J14)</f>
        <v/>
      </c>
      <c r="N14" s="14">
        <f>INT(D14/2)</f>
        <v/>
      </c>
      <c r="O14" s="6">
        <f>IF(G14=1, "b&amp;1=1 -&gt; result ^= a ("&amp;F14&amp;"^"&amp;B14&amp;"="&amp;H14&amp;"); ", "b&amp;1=0 -&gt; Giữ result="&amp;H14&amp;"; ")&amp;IF(L14=1, "a&lt;&lt;1="&amp;J14&amp;" (&gt;=16, tràn) -&gt; a ^= m =&gt; "&amp;M14, "a&lt;&lt;1="&amp;J14&amp;" (&lt;16, ko tràn) =&gt; a="&amp;M14)</f>
        <v/>
      </c>
    </row>
    <row r="15" ht="26" customHeight="1">
      <c r="A15" s="16" t="n">
        <v>3</v>
      </c>
      <c r="B15" s="17">
        <f>M14</f>
        <v/>
      </c>
      <c r="C15" s="18">
        <f>MOD(INT(B15/8),2)&amp;MOD(INT(B15/4),2)&amp;MOD(INT(B15/2),2)&amp;MOD(B15,2)</f>
        <v/>
      </c>
      <c r="D15" s="17">
        <f>N14</f>
        <v/>
      </c>
      <c r="E15" s="18">
        <f>MOD(INT(D15/8),2)&amp;MOD(INT(D15/4),2)&amp;MOD(INT(D15/2),2)&amp;MOD(D15,2)</f>
        <v/>
      </c>
      <c r="F15" s="17">
        <f>H14</f>
        <v/>
      </c>
      <c r="G15" s="17">
        <f>MOD(D15, 2)</f>
        <v/>
      </c>
      <c r="H15" s="16">
        <f>IF(G15=1, (MOD(INT(F15/8)+INT(B15/8),2)*8+MOD(INT(F15/4)+INT(B15/4),2)*4+MOD(INT(F15/2)+INT(B15/2),2)*2+MOD(F15+B15,2)), F15)</f>
        <v/>
      </c>
      <c r="I15" s="18">
        <f>MOD(INT(H15/8),2)&amp;MOD(INT(H15/4),2)&amp;MOD(INT(H15/2),2)&amp;MOD(H15,2)</f>
        <v/>
      </c>
      <c r="J15" s="17">
        <f>B15*2</f>
        <v/>
      </c>
      <c r="K15" s="18">
        <f>MOD(INT(J15/16),2)&amp;MOD(INT(J15/8),2)&amp;MOD(INT(J15/4),2)&amp;MOD(INT(J15/2),2)&amp;MOD(J15,2)</f>
        <v/>
      </c>
      <c r="L15" s="17">
        <f>IF(J15&gt;=16, 1, 0)</f>
        <v/>
      </c>
      <c r="M15" s="16">
        <f>IF(L15=1, (MOD(INT(J15/16)+INT($C$8/16),2)*16+MOD(INT(J15/8)+INT($C$8/8),2)*8+MOD(INT(J15/4)+INT($C$8/4),2)*4+MOD(INT(J15/2)+INT($C$8/2),2)*2+MOD(J15+$C$8,2)), J15)</f>
        <v/>
      </c>
      <c r="N15" s="17">
        <f>INT(D15/2)</f>
        <v/>
      </c>
      <c r="O15" s="19">
        <f>IF(G15=1, "b&amp;1=1 -&gt; result ^= a ("&amp;F15&amp;"^"&amp;B15&amp;"="&amp;H15&amp;"); ", "b&amp;1=0 -&gt; Giữ result="&amp;H15&amp;"; ")&amp;IF(L15=1, "a&lt;&lt;1="&amp;J15&amp;" (&gt;=16, tràn) -&gt; a ^= m =&gt; "&amp;M15, "a&lt;&lt;1="&amp;J15&amp;" (&lt;16, ko tràn) =&gt; a="&amp;M15)</f>
        <v/>
      </c>
    </row>
    <row r="16" ht="25" customHeight="1">
      <c r="A16" s="20" t="inlineStr">
        <is>
          <t>TỔNG SỐ LẦN KÍCH HOẠT NHÁNH ĐIỀU KIỆN (if) TRONG 4 VÒNG LẶP:</t>
        </is>
      </c>
      <c r="B16" s="21" t="n"/>
      <c r="C16" s="21" t="n"/>
      <c r="D16" s="21" t="n"/>
      <c r="E16" s="21" t="n"/>
      <c r="F16" s="21" t="n"/>
      <c r="G16" s="21">
        <f>SUM(G12:G15)</f>
        <v/>
      </c>
      <c r="H16" s="21">
        <f>H15</f>
        <v/>
      </c>
      <c r="I16" s="21">
        <f>I15</f>
        <v/>
      </c>
      <c r="J16" s="21">
        <f>MAX(J12:J15)</f>
        <v/>
      </c>
      <c r="K16" s="21" t="inlineStr">
        <is>
          <t>Max(a&lt;&lt;1)</t>
        </is>
      </c>
      <c r="L16" s="21">
        <f>SUM(L12:L15)</f>
        <v/>
      </c>
      <c r="M16" s="21">
        <f>M15</f>
        <v/>
      </c>
      <c r="N16" s="21">
        <f>N15</f>
        <v/>
      </c>
      <c r="O16" s="22">
        <f>"Tổng cộng: " &amp; G16 &amp; " lần cộng XOR vào result, " &amp; L16 &amp; " lần hạ bậc XOR với đa thức tối giản m(x)."</f>
        <v/>
      </c>
    </row>
  </sheetData>
  <mergeCells count="12">
    <mergeCell ref="I6:I8"/>
    <mergeCell ref="A16:F16"/>
    <mergeCell ref="K6:K8"/>
    <mergeCell ref="A2:O2"/>
    <mergeCell ref="L6:L8"/>
    <mergeCell ref="A10:O10"/>
    <mergeCell ref="M5:O5"/>
    <mergeCell ref="A4:G4"/>
    <mergeCell ref="M6:O8"/>
    <mergeCell ref="A1:O1"/>
    <mergeCell ref="I4:O4"/>
    <mergeCell ref="J6:J8"/>
  </mergeCells>
  <conditionalFormatting sqref="G12:G15">
    <cfRule type="cellIs" priority="1" operator="equal" dxfId="0" stopIfTrue="1">
      <formula>1</formula>
    </cfRule>
  </conditionalFormatting>
  <conditionalFormatting sqref="L12:L15">
    <cfRule type="cellIs" priority="2" operator="equal" dxfId="1" stopIfTrue="1">
      <formula>1</formula>
    </cfRule>
  </conditionalFormatting>
  <dataValidations count="2">
    <dataValidation sqref="C6:C7" showDropDown="0" showInputMessage="0" showErrorMessage="0" allowBlank="0" errorTitle="Ngoài phạm vi GF(2^4)" error="Giá trị đa thức trong GF(2^4) phải là số nguyên từ 0 đến 15." type="whole" operator="between">
      <formula1>0</formula1>
      <formula2>15</formula2>
    </dataValidation>
    <dataValidation sqref="C8" showDropDown="0" showInputMessage="0" showErrorMessage="0" allowBlank="0" errorTitle="Đa thức tối giản không hợp lệ" error="Vui lòng chọn 1 trong 3 đa thức tối giản bậc 4: 19 (x^4+x+1), 25 (x^4+x^3+1), hoặc 31 (x^4+x^3+x^2+x+1)." type="list">
      <formula1>"19,25,31"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11" customWidth="1" min="8" max="8"/>
    <col width="14" customWidth="1" min="9" max="9"/>
    <col width="10" customWidth="1" min="10" max="10"/>
    <col width="13" customWidth="1" min="11" max="11"/>
    <col width="10" customWidth="1" min="12" max="12"/>
    <col width="11" customWidth="1" min="13" max="13"/>
    <col width="11" customWidth="1" min="14" max="14"/>
  </cols>
  <sheetData>
    <row r="1" ht="30" customHeight="1">
      <c r="A1" s="1" t="inlineStr">
        <is>
          <t>ĐỐI CHIẾU 3 KỊCH BẢN KIỂM THỬ TRONG CHƯƠNG TRÌNH C (main.c)</t>
        </is>
      </c>
    </row>
    <row r="2" ht="20" customHeight="1">
      <c r="A2" s="2" t="inlineStr">
        <is>
          <t>Mỗi bảng dưới đây khớp chính xác với kết quả in ra màn hình console của hàm gf24_print_trace_table() trong file gf24.c</t>
        </is>
      </c>
    </row>
    <row r="4" ht="24" customHeight="1">
      <c r="A4" s="3" t="inlineStr">
        <is>
          <t>KỊCH BẢN 1: Ví dụ minh họa cơ bản — A(x) = x^3 + x (10) nhân B(x) = x^2 + 1 (5) mod (x^4 + x + 1)</t>
        </is>
      </c>
      <c r="L4" s="23" t="n">
        <v>10</v>
      </c>
      <c r="M4" s="23" t="n">
        <v>5</v>
      </c>
      <c r="N4" s="23" t="n">
        <v>19</v>
      </c>
    </row>
    <row r="5" ht="25" customHeight="1">
      <c r="A5" s="4" t="inlineStr">
        <is>
          <t>Bước (i)</t>
        </is>
      </c>
      <c r="B5" s="4" t="inlineStr">
        <is>
          <t>a_in</t>
        </is>
      </c>
      <c r="C5" s="4" t="inlineStr">
        <is>
          <t>a_in (Bin)</t>
        </is>
      </c>
      <c r="D5" s="4" t="inlineStr">
        <is>
          <t>b_in</t>
        </is>
      </c>
      <c r="E5" s="4" t="inlineStr">
        <is>
          <t>b_in (Bin)</t>
        </is>
      </c>
      <c r="F5" s="4" t="inlineStr">
        <is>
          <t>res_in</t>
        </is>
      </c>
      <c r="G5" s="4" t="inlineStr">
        <is>
          <t>b &amp; 1</t>
        </is>
      </c>
      <c r="H5" s="4" t="inlineStr">
        <is>
          <t>res_mới</t>
        </is>
      </c>
      <c r="I5" s="4" t="inlineStr">
        <is>
          <t>res_mới (Bin)</t>
        </is>
      </c>
      <c r="J5" s="4" t="inlineStr">
        <is>
          <t>a &lt;&lt; 1</t>
        </is>
      </c>
      <c r="K5" s="4" t="inlineStr">
        <is>
          <t>a&lt;&lt;1 (5b)</t>
        </is>
      </c>
      <c r="L5" s="4" t="inlineStr">
        <is>
          <t>Tràn?</t>
        </is>
      </c>
      <c r="M5" s="4" t="inlineStr">
        <is>
          <t>a_out</t>
        </is>
      </c>
      <c r="N5" s="4" t="inlineStr">
        <is>
          <t>b_out</t>
        </is>
      </c>
    </row>
    <row r="6" ht="21" customHeight="1">
      <c r="A6" s="13" t="n">
        <v>0</v>
      </c>
      <c r="B6" s="14">
        <f>L4</f>
        <v/>
      </c>
      <c r="C6" s="15">
        <f>MOD(INT(B6/8),2)&amp;MOD(INT(B6/4),2)&amp;MOD(INT(B6/2),2)&amp;MOD(B6,2)</f>
        <v/>
      </c>
      <c r="D6" s="14">
        <f>M4</f>
        <v/>
      </c>
      <c r="E6" s="15">
        <f>MOD(INT(D6/8),2)&amp;MOD(INT(D6/4),2)&amp;MOD(INT(D6/2),2)&amp;MOD(D6,2)</f>
        <v/>
      </c>
      <c r="F6" s="14" t="n">
        <v>0</v>
      </c>
      <c r="G6" s="14">
        <f>MOD(D6,2)</f>
        <v/>
      </c>
      <c r="H6" s="13">
        <f>IF(G6=1, (MOD(INT(F6/8)+INT(B6/8),2)*8+MOD(INT(F6/4)+INT(B6/4),2)*4+MOD(INT(F6/2)+INT(B6/2),2)*2+MOD(F6+B6,2)), F6)</f>
        <v/>
      </c>
      <c r="I6" s="15">
        <f>MOD(INT(H6/8),2)&amp;MOD(INT(H6/4),2)&amp;MOD(INT(H6/2),2)&amp;MOD(H6,2)</f>
        <v/>
      </c>
      <c r="J6" s="14">
        <f>B6*2</f>
        <v/>
      </c>
      <c r="K6" s="15">
        <f>MOD(INT(J6/16),2)&amp;MOD(INT(J6/8),2)&amp;MOD(INT(J6/4),2)&amp;MOD(INT(J6/2),2)&amp;MOD(J6,2)</f>
        <v/>
      </c>
      <c r="L6" s="14">
        <f>IF(J6&gt;=16, 1, 0)</f>
        <v/>
      </c>
      <c r="M6" s="13">
        <f>IF(L6=1, (MOD(INT(J6/16)+INT($N$4/16),2)*16+MOD(INT(J6/8)+INT($N$4/8),2)*8+MOD(INT(J6/4)+INT($N$4/4),2)*4+MOD(INT(J6/2)+INT($N$4/2),2)*2+MOD(J6+$N$4,2)), J6)</f>
        <v/>
      </c>
      <c r="N6" s="14">
        <f>INT(D6/2)</f>
        <v/>
      </c>
    </row>
    <row r="7" ht="21" customHeight="1">
      <c r="A7" s="16" t="n">
        <v>1</v>
      </c>
      <c r="B7" s="17">
        <f>M6</f>
        <v/>
      </c>
      <c r="C7" s="18">
        <f>MOD(INT(B7/8),2)&amp;MOD(INT(B7/4),2)&amp;MOD(INT(B7/2),2)&amp;MOD(B7,2)</f>
        <v/>
      </c>
      <c r="D7" s="17">
        <f>N6</f>
        <v/>
      </c>
      <c r="E7" s="18">
        <f>MOD(INT(D7/8),2)&amp;MOD(INT(D7/4),2)&amp;MOD(INT(D7/2),2)&amp;MOD(D7,2)</f>
        <v/>
      </c>
      <c r="F7" s="17">
        <f>H6</f>
        <v/>
      </c>
      <c r="G7" s="17">
        <f>MOD(D7,2)</f>
        <v/>
      </c>
      <c r="H7" s="16">
        <f>IF(G7=1, (MOD(INT(F7/8)+INT(B7/8),2)*8+MOD(INT(F7/4)+INT(B7/4),2)*4+MOD(INT(F7/2)+INT(B7/2),2)*2+MOD(F7+B7,2)), F7)</f>
        <v/>
      </c>
      <c r="I7" s="18">
        <f>MOD(INT(H7/8),2)&amp;MOD(INT(H7/4),2)&amp;MOD(INT(H7/2),2)&amp;MOD(H7,2)</f>
        <v/>
      </c>
      <c r="J7" s="17">
        <f>B7*2</f>
        <v/>
      </c>
      <c r="K7" s="18">
        <f>MOD(INT(J7/16),2)&amp;MOD(INT(J7/8),2)&amp;MOD(INT(J7/4),2)&amp;MOD(INT(J7/2),2)&amp;MOD(J7,2)</f>
        <v/>
      </c>
      <c r="L7" s="17">
        <f>IF(J7&gt;=16, 1, 0)</f>
        <v/>
      </c>
      <c r="M7" s="16">
        <f>IF(L7=1, (MOD(INT(J7/16)+INT($N$4/16),2)*16+MOD(INT(J7/8)+INT($N$4/8),2)*8+MOD(INT(J7/4)+INT($N$4/4),2)*4+MOD(INT(J7/2)+INT($N$4/2),2)*2+MOD(J7+$N$4,2)), J7)</f>
        <v/>
      </c>
      <c r="N7" s="17">
        <f>INT(D7/2)</f>
        <v/>
      </c>
    </row>
    <row r="8" ht="21" customHeight="1">
      <c r="A8" s="13" t="n">
        <v>2</v>
      </c>
      <c r="B8" s="14">
        <f>M7</f>
        <v/>
      </c>
      <c r="C8" s="15">
        <f>MOD(INT(B8/8),2)&amp;MOD(INT(B8/4),2)&amp;MOD(INT(B8/2),2)&amp;MOD(B8,2)</f>
        <v/>
      </c>
      <c r="D8" s="14">
        <f>N7</f>
        <v/>
      </c>
      <c r="E8" s="15">
        <f>MOD(INT(D8/8),2)&amp;MOD(INT(D8/4),2)&amp;MOD(INT(D8/2),2)&amp;MOD(D8,2)</f>
        <v/>
      </c>
      <c r="F8" s="14">
        <f>H7</f>
        <v/>
      </c>
      <c r="G8" s="14">
        <f>MOD(D8,2)</f>
        <v/>
      </c>
      <c r="H8" s="13">
        <f>IF(G8=1, (MOD(INT(F8/8)+INT(B8/8),2)*8+MOD(INT(F8/4)+INT(B8/4),2)*4+MOD(INT(F8/2)+INT(B8/2),2)*2+MOD(F8+B8,2)), F8)</f>
        <v/>
      </c>
      <c r="I8" s="15">
        <f>MOD(INT(H8/8),2)&amp;MOD(INT(H8/4),2)&amp;MOD(INT(H8/2),2)&amp;MOD(H8,2)</f>
        <v/>
      </c>
      <c r="J8" s="14">
        <f>B8*2</f>
        <v/>
      </c>
      <c r="K8" s="15">
        <f>MOD(INT(J8/16),2)&amp;MOD(INT(J8/8),2)&amp;MOD(INT(J8/4),2)&amp;MOD(INT(J8/2),2)&amp;MOD(J8,2)</f>
        <v/>
      </c>
      <c r="L8" s="14">
        <f>IF(J8&gt;=16, 1, 0)</f>
        <v/>
      </c>
      <c r="M8" s="13">
        <f>IF(L8=1, (MOD(INT(J8/16)+INT($N$4/16),2)*16+MOD(INT(J8/8)+INT($N$4/8),2)*8+MOD(INT(J8/4)+INT($N$4/4),2)*4+MOD(INT(J8/2)+INT($N$4/2),2)*2+MOD(J8+$N$4,2)), J8)</f>
        <v/>
      </c>
      <c r="N8" s="14">
        <f>INT(D8/2)</f>
        <v/>
      </c>
    </row>
    <row r="9" ht="21" customHeight="1">
      <c r="A9" s="16" t="n">
        <v>3</v>
      </c>
      <c r="B9" s="17">
        <f>M8</f>
        <v/>
      </c>
      <c r="C9" s="18">
        <f>MOD(INT(B9/8),2)&amp;MOD(INT(B9/4),2)&amp;MOD(INT(B9/2),2)&amp;MOD(B9,2)</f>
        <v/>
      </c>
      <c r="D9" s="17">
        <f>N8</f>
        <v/>
      </c>
      <c r="E9" s="18">
        <f>MOD(INT(D9/8),2)&amp;MOD(INT(D9/4),2)&amp;MOD(INT(D9/2),2)&amp;MOD(D9,2)</f>
        <v/>
      </c>
      <c r="F9" s="17">
        <f>H8</f>
        <v/>
      </c>
      <c r="G9" s="17">
        <f>MOD(D9,2)</f>
        <v/>
      </c>
      <c r="H9" s="16">
        <f>IF(G9=1, (MOD(INT(F9/8)+INT(B9/8),2)*8+MOD(INT(F9/4)+INT(B9/4),2)*4+MOD(INT(F9/2)+INT(B9/2),2)*2+MOD(F9+B9,2)), F9)</f>
        <v/>
      </c>
      <c r="I9" s="18">
        <f>MOD(INT(H9/8),2)&amp;MOD(INT(H9/4),2)&amp;MOD(INT(H9/2),2)&amp;MOD(H9,2)</f>
        <v/>
      </c>
      <c r="J9" s="17">
        <f>B9*2</f>
        <v/>
      </c>
      <c r="K9" s="18">
        <f>MOD(INT(J9/16),2)&amp;MOD(INT(J9/8),2)&amp;MOD(INT(J9/4),2)&amp;MOD(INT(J9/2),2)&amp;MOD(J9,2)</f>
        <v/>
      </c>
      <c r="L9" s="17">
        <f>IF(J9&gt;=16, 1, 0)</f>
        <v/>
      </c>
      <c r="M9" s="16">
        <f>IF(L9=1, (MOD(INT(J9/16)+INT($N$4/16),2)*16+MOD(INT(J9/8)+INT($N$4/8),2)*8+MOD(INT(J9/4)+INT($N$4/4),2)*4+MOD(INT(J9/2)+INT($N$4/2),2)*2+MOD(J9+$N$4,2)), J9)</f>
        <v/>
      </c>
      <c r="N9" s="17">
        <f>INT(D9/2)</f>
        <v/>
      </c>
    </row>
    <row r="10" ht="23" customHeight="1">
      <c r="A10" s="24" t="inlineStr">
        <is>
          <t>KẾT QUẢ CUỐI CÙNG R(x) =</t>
        </is>
      </c>
      <c r="B10" s="25" t="n"/>
      <c r="C10" s="25" t="n"/>
      <c r="D10" s="25" t="n"/>
      <c r="E10" s="25" t="n"/>
      <c r="F10" s="25" t="n"/>
      <c r="G10" s="25" t="n"/>
      <c r="H10" s="11">
        <f>H9</f>
        <v/>
      </c>
      <c r="I10" s="11">
        <f>I9</f>
        <v/>
      </c>
      <c r="J10" s="11">
        <f>"Đa thức: " &amp; INDEX(Bang_Tra_Cuu!$D$5:$D$20, H10+1) &amp; " (Hex: " &amp; INDEX(Bang_Tra_Cuu!$B$5:$B$20, H10+1) &amp; ")"</f>
        <v/>
      </c>
      <c r="K10" s="25" t="n"/>
      <c r="L10" s="25" t="n"/>
      <c r="M10" s="25" t="n"/>
      <c r="N10" s="25" t="n"/>
    </row>
    <row r="13" ht="24" customHeight="1">
      <c r="A13" s="3" t="inlineStr">
        <is>
          <t>KỊCH BẢN 2: Kiểm chứng cặp nghịch đảo nhân — A(x) = x^2 + 1 (5) nhân B(x) = x^3 + x + 1 (11) =&gt; Kết quả = 1</t>
        </is>
      </c>
      <c r="L13" s="23" t="n">
        <v>5</v>
      </c>
      <c r="M13" s="23" t="n">
        <v>11</v>
      </c>
      <c r="N13" s="23" t="n">
        <v>19</v>
      </c>
    </row>
    <row r="14" ht="25" customHeight="1">
      <c r="A14" s="4" t="inlineStr">
        <is>
          <t>Bước (i)</t>
        </is>
      </c>
      <c r="B14" s="4" t="inlineStr">
        <is>
          <t>a_in</t>
        </is>
      </c>
      <c r="C14" s="4" t="inlineStr">
        <is>
          <t>a_in (Bin)</t>
        </is>
      </c>
      <c r="D14" s="4" t="inlineStr">
        <is>
          <t>b_in</t>
        </is>
      </c>
      <c r="E14" s="4" t="inlineStr">
        <is>
          <t>b_in (Bin)</t>
        </is>
      </c>
      <c r="F14" s="4" t="inlineStr">
        <is>
          <t>res_in</t>
        </is>
      </c>
      <c r="G14" s="4" t="inlineStr">
        <is>
          <t>b &amp; 1</t>
        </is>
      </c>
      <c r="H14" s="4" t="inlineStr">
        <is>
          <t>res_mới</t>
        </is>
      </c>
      <c r="I14" s="4" t="inlineStr">
        <is>
          <t>res_mới (Bin)</t>
        </is>
      </c>
      <c r="J14" s="4" t="inlineStr">
        <is>
          <t>a &lt;&lt; 1</t>
        </is>
      </c>
      <c r="K14" s="4" t="inlineStr">
        <is>
          <t>a&lt;&lt;1 (5b)</t>
        </is>
      </c>
      <c r="L14" s="4" t="inlineStr">
        <is>
          <t>Tràn?</t>
        </is>
      </c>
      <c r="M14" s="4" t="inlineStr">
        <is>
          <t>a_out</t>
        </is>
      </c>
      <c r="N14" s="4" t="inlineStr">
        <is>
          <t>b_out</t>
        </is>
      </c>
    </row>
    <row r="15" ht="21" customHeight="1">
      <c r="A15" s="13" t="n">
        <v>0</v>
      </c>
      <c r="B15" s="14">
        <f>L13</f>
        <v/>
      </c>
      <c r="C15" s="15">
        <f>MOD(INT(B15/8),2)&amp;MOD(INT(B15/4),2)&amp;MOD(INT(B15/2),2)&amp;MOD(B15,2)</f>
        <v/>
      </c>
      <c r="D15" s="14">
        <f>M13</f>
        <v/>
      </c>
      <c r="E15" s="15">
        <f>MOD(INT(D15/8),2)&amp;MOD(INT(D15/4),2)&amp;MOD(INT(D15/2),2)&amp;MOD(D15,2)</f>
        <v/>
      </c>
      <c r="F15" s="14" t="n">
        <v>0</v>
      </c>
      <c r="G15" s="14">
        <f>MOD(D15,2)</f>
        <v/>
      </c>
      <c r="H15" s="13">
        <f>IF(G15=1, (MOD(INT(F15/8)+INT(B15/8),2)*8+MOD(INT(F15/4)+INT(B15/4),2)*4+MOD(INT(F15/2)+INT(B15/2),2)*2+MOD(F15+B15,2)), F15)</f>
        <v/>
      </c>
      <c r="I15" s="15">
        <f>MOD(INT(H15/8),2)&amp;MOD(INT(H15/4),2)&amp;MOD(INT(H15/2),2)&amp;MOD(H15,2)</f>
        <v/>
      </c>
      <c r="J15" s="14">
        <f>B15*2</f>
        <v/>
      </c>
      <c r="K15" s="15">
        <f>MOD(INT(J15/16),2)&amp;MOD(INT(J15/8),2)&amp;MOD(INT(J15/4),2)&amp;MOD(INT(J15/2),2)&amp;MOD(J15,2)</f>
        <v/>
      </c>
      <c r="L15" s="14">
        <f>IF(J15&gt;=16, 1, 0)</f>
        <v/>
      </c>
      <c r="M15" s="13">
        <f>IF(L15=1, (MOD(INT(J15/16)+INT($N$13/16),2)*16+MOD(INT(J15/8)+INT($N$13/8),2)*8+MOD(INT(J15/4)+INT($N$13/4),2)*4+MOD(INT(J15/2)+INT($N$13/2),2)*2+MOD(J15+$N$13,2)), J15)</f>
        <v/>
      </c>
      <c r="N15" s="14">
        <f>INT(D15/2)</f>
        <v/>
      </c>
    </row>
    <row r="16" ht="21" customHeight="1">
      <c r="A16" s="16" t="n">
        <v>1</v>
      </c>
      <c r="B16" s="17">
        <f>M15</f>
        <v/>
      </c>
      <c r="C16" s="18">
        <f>MOD(INT(B16/8),2)&amp;MOD(INT(B16/4),2)&amp;MOD(INT(B16/2),2)&amp;MOD(B16,2)</f>
        <v/>
      </c>
      <c r="D16" s="17">
        <f>N15</f>
        <v/>
      </c>
      <c r="E16" s="18">
        <f>MOD(INT(D16/8),2)&amp;MOD(INT(D16/4),2)&amp;MOD(INT(D16/2),2)&amp;MOD(D16,2)</f>
        <v/>
      </c>
      <c r="F16" s="17">
        <f>H15</f>
        <v/>
      </c>
      <c r="G16" s="17">
        <f>MOD(D16,2)</f>
        <v/>
      </c>
      <c r="H16" s="16">
        <f>IF(G16=1, (MOD(INT(F16/8)+INT(B16/8),2)*8+MOD(INT(F16/4)+INT(B16/4),2)*4+MOD(INT(F16/2)+INT(B16/2),2)*2+MOD(F16+B16,2)), F16)</f>
        <v/>
      </c>
      <c r="I16" s="18">
        <f>MOD(INT(H16/8),2)&amp;MOD(INT(H16/4),2)&amp;MOD(INT(H16/2),2)&amp;MOD(H16,2)</f>
        <v/>
      </c>
      <c r="J16" s="17">
        <f>B16*2</f>
        <v/>
      </c>
      <c r="K16" s="18">
        <f>MOD(INT(J16/16),2)&amp;MOD(INT(J16/8),2)&amp;MOD(INT(J16/4),2)&amp;MOD(INT(J16/2),2)&amp;MOD(J16,2)</f>
        <v/>
      </c>
      <c r="L16" s="17">
        <f>IF(J16&gt;=16, 1, 0)</f>
        <v/>
      </c>
      <c r="M16" s="16">
        <f>IF(L16=1, (MOD(INT(J16/16)+INT($N$13/16),2)*16+MOD(INT(J16/8)+INT($N$13/8),2)*8+MOD(INT(J16/4)+INT($N$13/4),2)*4+MOD(INT(J16/2)+INT($N$13/2),2)*2+MOD(J16+$N$13,2)), J16)</f>
        <v/>
      </c>
      <c r="N16" s="17">
        <f>INT(D16/2)</f>
        <v/>
      </c>
    </row>
    <row r="17" ht="21" customHeight="1">
      <c r="A17" s="13" t="n">
        <v>2</v>
      </c>
      <c r="B17" s="14">
        <f>M16</f>
        <v/>
      </c>
      <c r="C17" s="15">
        <f>MOD(INT(B17/8),2)&amp;MOD(INT(B17/4),2)&amp;MOD(INT(B17/2),2)&amp;MOD(B17,2)</f>
        <v/>
      </c>
      <c r="D17" s="14">
        <f>N16</f>
        <v/>
      </c>
      <c r="E17" s="15">
        <f>MOD(INT(D17/8),2)&amp;MOD(INT(D17/4),2)&amp;MOD(INT(D17/2),2)&amp;MOD(D17,2)</f>
        <v/>
      </c>
      <c r="F17" s="14">
        <f>H16</f>
        <v/>
      </c>
      <c r="G17" s="14">
        <f>MOD(D17,2)</f>
        <v/>
      </c>
      <c r="H17" s="13">
        <f>IF(G17=1, (MOD(INT(F17/8)+INT(B17/8),2)*8+MOD(INT(F17/4)+INT(B17/4),2)*4+MOD(INT(F17/2)+INT(B17/2),2)*2+MOD(F17+B17,2)), F17)</f>
        <v/>
      </c>
      <c r="I17" s="15">
        <f>MOD(INT(H17/8),2)&amp;MOD(INT(H17/4),2)&amp;MOD(INT(H17/2),2)&amp;MOD(H17,2)</f>
        <v/>
      </c>
      <c r="J17" s="14">
        <f>B17*2</f>
        <v/>
      </c>
      <c r="K17" s="15">
        <f>MOD(INT(J17/16),2)&amp;MOD(INT(J17/8),2)&amp;MOD(INT(J17/4),2)&amp;MOD(INT(J17/2),2)&amp;MOD(J17,2)</f>
        <v/>
      </c>
      <c r="L17" s="14">
        <f>IF(J17&gt;=16, 1, 0)</f>
        <v/>
      </c>
      <c r="M17" s="13">
        <f>IF(L17=1, (MOD(INT(J17/16)+INT($N$13/16),2)*16+MOD(INT(J17/8)+INT($N$13/8),2)*8+MOD(INT(J17/4)+INT($N$13/4),2)*4+MOD(INT(J17/2)+INT($N$13/2),2)*2+MOD(J17+$N$13,2)), J17)</f>
        <v/>
      </c>
      <c r="N17" s="14">
        <f>INT(D17/2)</f>
        <v/>
      </c>
    </row>
    <row r="18" ht="21" customHeight="1">
      <c r="A18" s="16" t="n">
        <v>3</v>
      </c>
      <c r="B18" s="17">
        <f>M17</f>
        <v/>
      </c>
      <c r="C18" s="18">
        <f>MOD(INT(B18/8),2)&amp;MOD(INT(B18/4),2)&amp;MOD(INT(B18/2),2)&amp;MOD(B18,2)</f>
        <v/>
      </c>
      <c r="D18" s="17">
        <f>N17</f>
        <v/>
      </c>
      <c r="E18" s="18">
        <f>MOD(INT(D18/8),2)&amp;MOD(INT(D18/4),2)&amp;MOD(INT(D18/2),2)&amp;MOD(D18,2)</f>
        <v/>
      </c>
      <c r="F18" s="17">
        <f>H17</f>
        <v/>
      </c>
      <c r="G18" s="17">
        <f>MOD(D18,2)</f>
        <v/>
      </c>
      <c r="H18" s="16">
        <f>IF(G18=1, (MOD(INT(F18/8)+INT(B18/8),2)*8+MOD(INT(F18/4)+INT(B18/4),2)*4+MOD(INT(F18/2)+INT(B18/2),2)*2+MOD(F18+B18,2)), F18)</f>
        <v/>
      </c>
      <c r="I18" s="18">
        <f>MOD(INT(H18/8),2)&amp;MOD(INT(H18/4),2)&amp;MOD(INT(H18/2),2)&amp;MOD(H18,2)</f>
        <v/>
      </c>
      <c r="J18" s="17">
        <f>B18*2</f>
        <v/>
      </c>
      <c r="K18" s="18">
        <f>MOD(INT(J18/16),2)&amp;MOD(INT(J18/8),2)&amp;MOD(INT(J18/4),2)&amp;MOD(INT(J18/2),2)&amp;MOD(J18,2)</f>
        <v/>
      </c>
      <c r="L18" s="17">
        <f>IF(J18&gt;=16, 1, 0)</f>
        <v/>
      </c>
      <c r="M18" s="16">
        <f>IF(L18=1, (MOD(INT(J18/16)+INT($N$13/16),2)*16+MOD(INT(J18/8)+INT($N$13/8),2)*8+MOD(INT(J18/4)+INT($N$13/4),2)*4+MOD(INT(J18/2)+INT($N$13/2),2)*2+MOD(J18+$N$13,2)), J18)</f>
        <v/>
      </c>
      <c r="N18" s="17">
        <f>INT(D18/2)</f>
        <v/>
      </c>
    </row>
    <row r="19" ht="23" customHeight="1">
      <c r="A19" s="24" t="inlineStr">
        <is>
          <t>KẾT QUẢ CUỐI CÙNG R(x) =</t>
        </is>
      </c>
      <c r="B19" s="25" t="n"/>
      <c r="C19" s="25" t="n"/>
      <c r="D19" s="25" t="n"/>
      <c r="E19" s="25" t="n"/>
      <c r="F19" s="25" t="n"/>
      <c r="G19" s="25" t="n"/>
      <c r="H19" s="11">
        <f>H18</f>
        <v/>
      </c>
      <c r="I19" s="11">
        <f>I18</f>
        <v/>
      </c>
      <c r="J19" s="11">
        <f>"Đa thức: " &amp; INDEX(Bang_Tra_Cuu!$D$5:$D$20, H19+1) &amp; " (Hex: " &amp; INDEX(Bang_Tra_Cuu!$B$5:$B$20, H19+1) &amp; ")"</f>
        <v/>
      </c>
      <c r="K19" s="25" t="n"/>
      <c r="L19" s="25" t="n"/>
      <c r="M19" s="25" t="n"/>
      <c r="N19" s="25" t="n"/>
    </row>
    <row r="22" ht="24" customHeight="1">
      <c r="A22" s="3" t="inlineStr">
        <is>
          <t>KỊCH BẢN 3: Nhân phần tử bậc cao g^9 * g^11 — A(x) = x^3 + x (10) nhân B(x) = x^3 + x^2 + x (14) =&gt; g^5 = x^2 + x (6)</t>
        </is>
      </c>
      <c r="L22" s="23" t="n">
        <v>10</v>
      </c>
      <c r="M22" s="23" t="n">
        <v>14</v>
      </c>
      <c r="N22" s="23" t="n">
        <v>19</v>
      </c>
    </row>
    <row r="23" ht="25" customHeight="1">
      <c r="A23" s="4" t="inlineStr">
        <is>
          <t>Bước (i)</t>
        </is>
      </c>
      <c r="B23" s="4" t="inlineStr">
        <is>
          <t>a_in</t>
        </is>
      </c>
      <c r="C23" s="4" t="inlineStr">
        <is>
          <t>a_in (Bin)</t>
        </is>
      </c>
      <c r="D23" s="4" t="inlineStr">
        <is>
          <t>b_in</t>
        </is>
      </c>
      <c r="E23" s="4" t="inlineStr">
        <is>
          <t>b_in (Bin)</t>
        </is>
      </c>
      <c r="F23" s="4" t="inlineStr">
        <is>
          <t>res_in</t>
        </is>
      </c>
      <c r="G23" s="4" t="inlineStr">
        <is>
          <t>b &amp; 1</t>
        </is>
      </c>
      <c r="H23" s="4" t="inlineStr">
        <is>
          <t>res_mới</t>
        </is>
      </c>
      <c r="I23" s="4" t="inlineStr">
        <is>
          <t>res_mới (Bin)</t>
        </is>
      </c>
      <c r="J23" s="4" t="inlineStr">
        <is>
          <t>a &lt;&lt; 1</t>
        </is>
      </c>
      <c r="K23" s="4" t="inlineStr">
        <is>
          <t>a&lt;&lt;1 (5b)</t>
        </is>
      </c>
      <c r="L23" s="4" t="inlineStr">
        <is>
          <t>Tràn?</t>
        </is>
      </c>
      <c r="M23" s="4" t="inlineStr">
        <is>
          <t>a_out</t>
        </is>
      </c>
      <c r="N23" s="4" t="inlineStr">
        <is>
          <t>b_out</t>
        </is>
      </c>
    </row>
    <row r="24" ht="21" customHeight="1">
      <c r="A24" s="13" t="n">
        <v>0</v>
      </c>
      <c r="B24" s="14">
        <f>L22</f>
        <v/>
      </c>
      <c r="C24" s="15">
        <f>MOD(INT(B24/8),2)&amp;MOD(INT(B24/4),2)&amp;MOD(INT(B24/2),2)&amp;MOD(B24,2)</f>
        <v/>
      </c>
      <c r="D24" s="14">
        <f>M22</f>
        <v/>
      </c>
      <c r="E24" s="15">
        <f>MOD(INT(D24/8),2)&amp;MOD(INT(D24/4),2)&amp;MOD(INT(D24/2),2)&amp;MOD(D24,2)</f>
        <v/>
      </c>
      <c r="F24" s="14" t="n">
        <v>0</v>
      </c>
      <c r="G24" s="14">
        <f>MOD(D24,2)</f>
        <v/>
      </c>
      <c r="H24" s="13">
        <f>IF(G24=1, (MOD(INT(F24/8)+INT(B24/8),2)*8+MOD(INT(F24/4)+INT(B24/4),2)*4+MOD(INT(F24/2)+INT(B24/2),2)*2+MOD(F24+B24,2)), F24)</f>
        <v/>
      </c>
      <c r="I24" s="15">
        <f>MOD(INT(H24/8),2)&amp;MOD(INT(H24/4),2)&amp;MOD(INT(H24/2),2)&amp;MOD(H24,2)</f>
        <v/>
      </c>
      <c r="J24" s="14">
        <f>B24*2</f>
        <v/>
      </c>
      <c r="K24" s="15">
        <f>MOD(INT(J24/16),2)&amp;MOD(INT(J24/8),2)&amp;MOD(INT(J24/4),2)&amp;MOD(INT(J24/2),2)&amp;MOD(J24,2)</f>
        <v/>
      </c>
      <c r="L24" s="14">
        <f>IF(J24&gt;=16, 1, 0)</f>
        <v/>
      </c>
      <c r="M24" s="13">
        <f>IF(L24=1, (MOD(INT(J24/16)+INT($N$22/16),2)*16+MOD(INT(J24/8)+INT($N$22/8),2)*8+MOD(INT(J24/4)+INT($N$22/4),2)*4+MOD(INT(J24/2)+INT($N$22/2),2)*2+MOD(J24+$N$22,2)), J24)</f>
        <v/>
      </c>
      <c r="N24" s="14">
        <f>INT(D24/2)</f>
        <v/>
      </c>
    </row>
    <row r="25" ht="21" customHeight="1">
      <c r="A25" s="16" t="n">
        <v>1</v>
      </c>
      <c r="B25" s="17">
        <f>M24</f>
        <v/>
      </c>
      <c r="C25" s="18">
        <f>MOD(INT(B25/8),2)&amp;MOD(INT(B25/4),2)&amp;MOD(INT(B25/2),2)&amp;MOD(B25,2)</f>
        <v/>
      </c>
      <c r="D25" s="17">
        <f>N24</f>
        <v/>
      </c>
      <c r="E25" s="18">
        <f>MOD(INT(D25/8),2)&amp;MOD(INT(D25/4),2)&amp;MOD(INT(D25/2),2)&amp;MOD(D25,2)</f>
        <v/>
      </c>
      <c r="F25" s="17">
        <f>H24</f>
        <v/>
      </c>
      <c r="G25" s="17">
        <f>MOD(D25,2)</f>
        <v/>
      </c>
      <c r="H25" s="16">
        <f>IF(G25=1, (MOD(INT(F25/8)+INT(B25/8),2)*8+MOD(INT(F25/4)+INT(B25/4),2)*4+MOD(INT(F25/2)+INT(B25/2),2)*2+MOD(F25+B25,2)), F25)</f>
        <v/>
      </c>
      <c r="I25" s="18">
        <f>MOD(INT(H25/8),2)&amp;MOD(INT(H25/4),2)&amp;MOD(INT(H25/2),2)&amp;MOD(H25,2)</f>
        <v/>
      </c>
      <c r="J25" s="17">
        <f>B25*2</f>
        <v/>
      </c>
      <c r="K25" s="18">
        <f>MOD(INT(J25/16),2)&amp;MOD(INT(J25/8),2)&amp;MOD(INT(J25/4),2)&amp;MOD(INT(J25/2),2)&amp;MOD(J25,2)</f>
        <v/>
      </c>
      <c r="L25" s="17">
        <f>IF(J25&gt;=16, 1, 0)</f>
        <v/>
      </c>
      <c r="M25" s="16">
        <f>IF(L25=1, (MOD(INT(J25/16)+INT($N$22/16),2)*16+MOD(INT(J25/8)+INT($N$22/8),2)*8+MOD(INT(J25/4)+INT($N$22/4),2)*4+MOD(INT(J25/2)+INT($N$22/2),2)*2+MOD(J25+$N$22,2)), J25)</f>
        <v/>
      </c>
      <c r="N25" s="17">
        <f>INT(D25/2)</f>
        <v/>
      </c>
    </row>
    <row r="26" ht="21" customHeight="1">
      <c r="A26" s="13" t="n">
        <v>2</v>
      </c>
      <c r="B26" s="14">
        <f>M25</f>
        <v/>
      </c>
      <c r="C26" s="15">
        <f>MOD(INT(B26/8),2)&amp;MOD(INT(B26/4),2)&amp;MOD(INT(B26/2),2)&amp;MOD(B26,2)</f>
        <v/>
      </c>
      <c r="D26" s="14">
        <f>N25</f>
        <v/>
      </c>
      <c r="E26" s="15">
        <f>MOD(INT(D26/8),2)&amp;MOD(INT(D26/4),2)&amp;MOD(INT(D26/2),2)&amp;MOD(D26,2)</f>
        <v/>
      </c>
      <c r="F26" s="14">
        <f>H25</f>
        <v/>
      </c>
      <c r="G26" s="14">
        <f>MOD(D26,2)</f>
        <v/>
      </c>
      <c r="H26" s="13">
        <f>IF(G26=1, (MOD(INT(F26/8)+INT(B26/8),2)*8+MOD(INT(F26/4)+INT(B26/4),2)*4+MOD(INT(F26/2)+INT(B26/2),2)*2+MOD(F26+B26,2)), F26)</f>
        <v/>
      </c>
      <c r="I26" s="15">
        <f>MOD(INT(H26/8),2)&amp;MOD(INT(H26/4),2)&amp;MOD(INT(H26/2),2)&amp;MOD(H26,2)</f>
        <v/>
      </c>
      <c r="J26" s="14">
        <f>B26*2</f>
        <v/>
      </c>
      <c r="K26" s="15">
        <f>MOD(INT(J26/16),2)&amp;MOD(INT(J26/8),2)&amp;MOD(INT(J26/4),2)&amp;MOD(INT(J26/2),2)&amp;MOD(J26,2)</f>
        <v/>
      </c>
      <c r="L26" s="14">
        <f>IF(J26&gt;=16, 1, 0)</f>
        <v/>
      </c>
      <c r="M26" s="13">
        <f>IF(L26=1, (MOD(INT(J26/16)+INT($N$22/16),2)*16+MOD(INT(J26/8)+INT($N$22/8),2)*8+MOD(INT(J26/4)+INT($N$22/4),2)*4+MOD(INT(J26/2)+INT($N$22/2),2)*2+MOD(J26+$N$22,2)), J26)</f>
        <v/>
      </c>
      <c r="N26" s="14">
        <f>INT(D26/2)</f>
        <v/>
      </c>
    </row>
    <row r="27" ht="21" customHeight="1">
      <c r="A27" s="16" t="n">
        <v>3</v>
      </c>
      <c r="B27" s="17">
        <f>M26</f>
        <v/>
      </c>
      <c r="C27" s="18">
        <f>MOD(INT(B27/8),2)&amp;MOD(INT(B27/4),2)&amp;MOD(INT(B27/2),2)&amp;MOD(B27,2)</f>
        <v/>
      </c>
      <c r="D27" s="17">
        <f>N26</f>
        <v/>
      </c>
      <c r="E27" s="18">
        <f>MOD(INT(D27/8),2)&amp;MOD(INT(D27/4),2)&amp;MOD(INT(D27/2),2)&amp;MOD(D27,2)</f>
        <v/>
      </c>
      <c r="F27" s="17">
        <f>H26</f>
        <v/>
      </c>
      <c r="G27" s="17">
        <f>MOD(D27,2)</f>
        <v/>
      </c>
      <c r="H27" s="16">
        <f>IF(G27=1, (MOD(INT(F27/8)+INT(B27/8),2)*8+MOD(INT(F27/4)+INT(B27/4),2)*4+MOD(INT(F27/2)+INT(B27/2),2)*2+MOD(F27+B27,2)), F27)</f>
        <v/>
      </c>
      <c r="I27" s="18">
        <f>MOD(INT(H27/8),2)&amp;MOD(INT(H27/4),2)&amp;MOD(INT(H27/2),2)&amp;MOD(H27,2)</f>
        <v/>
      </c>
      <c r="J27" s="17">
        <f>B27*2</f>
        <v/>
      </c>
      <c r="K27" s="18">
        <f>MOD(INT(J27/16),2)&amp;MOD(INT(J27/8),2)&amp;MOD(INT(J27/4),2)&amp;MOD(INT(J27/2),2)&amp;MOD(J27,2)</f>
        <v/>
      </c>
      <c r="L27" s="17">
        <f>IF(J27&gt;=16, 1, 0)</f>
        <v/>
      </c>
      <c r="M27" s="16">
        <f>IF(L27=1, (MOD(INT(J27/16)+INT($N$22/16),2)*16+MOD(INT(J27/8)+INT($N$22/8),2)*8+MOD(INT(J27/4)+INT($N$22/4),2)*4+MOD(INT(J27/2)+INT($N$22/2),2)*2+MOD(J27+$N$22,2)), J27)</f>
        <v/>
      </c>
      <c r="N27" s="17">
        <f>INT(D27/2)</f>
        <v/>
      </c>
    </row>
    <row r="28" ht="23" customHeight="1">
      <c r="A28" s="24" t="inlineStr">
        <is>
          <t>KẾT QUẢ CUỐI CÙNG R(x) =</t>
        </is>
      </c>
      <c r="B28" s="25" t="n"/>
      <c r="C28" s="25" t="n"/>
      <c r="D28" s="25" t="n"/>
      <c r="E28" s="25" t="n"/>
      <c r="F28" s="25" t="n"/>
      <c r="G28" s="25" t="n"/>
      <c r="H28" s="11">
        <f>H27</f>
        <v/>
      </c>
      <c r="I28" s="11">
        <f>I27</f>
        <v/>
      </c>
      <c r="J28" s="11">
        <f>"Đa thức: " &amp; INDEX(Bang_Tra_Cuu!$D$5:$D$20, H28+1) &amp; " (Hex: " &amp; INDEX(Bang_Tra_Cuu!$B$5:$B$20, H28+1) &amp; ")"</f>
        <v/>
      </c>
      <c r="K28" s="25" t="n"/>
      <c r="L28" s="25" t="n"/>
      <c r="M28" s="25" t="n"/>
      <c r="N28" s="25" t="n"/>
    </row>
  </sheetData>
  <mergeCells count="11">
    <mergeCell ref="A22:K22"/>
    <mergeCell ref="A4:K4"/>
    <mergeCell ref="A2:N2"/>
    <mergeCell ref="J10:N10"/>
    <mergeCell ref="J28:N28"/>
    <mergeCell ref="J19:N19"/>
    <mergeCell ref="A13:K13"/>
    <mergeCell ref="A19:G19"/>
    <mergeCell ref="A10:G10"/>
    <mergeCell ref="A28:G28"/>
    <mergeCell ref="A1:N1"/>
  </mergeCells>
  <conditionalFormatting sqref="G6:G9">
    <cfRule type="cellIs" priority="1" operator="equal" dxfId="0" stopIfTrue="1">
      <formula>1</formula>
    </cfRule>
  </conditionalFormatting>
  <conditionalFormatting sqref="L6:L9">
    <cfRule type="cellIs" priority="2" operator="equal" dxfId="1" stopIfTrue="1">
      <formula>1</formula>
    </cfRule>
  </conditionalFormatting>
  <conditionalFormatting sqref="G15:G18">
    <cfRule type="cellIs" priority="3" operator="equal" dxfId="0" stopIfTrue="1">
      <formula>1</formula>
    </cfRule>
  </conditionalFormatting>
  <conditionalFormatting sqref="L15:L18">
    <cfRule type="cellIs" priority="4" operator="equal" dxfId="1" stopIfTrue="1">
      <formula>1</formula>
    </cfRule>
  </conditionalFormatting>
  <conditionalFormatting sqref="G24:G27">
    <cfRule type="cellIs" priority="5" operator="equal" dxfId="0" stopIfTrue="1">
      <formula>1</formula>
    </cfRule>
  </conditionalFormatting>
  <conditionalFormatting sqref="L24:L27">
    <cfRule type="cellIs" priority="6" operator="equal" dxfId="1" stopIfTrue="1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3" customWidth="1" min="19" max="19"/>
    <col width="10" customWidth="1" min="20" max="20"/>
    <col width="18" customWidth="1" min="21" max="21"/>
    <col width="16" customWidth="1" min="22" max="22"/>
    <col width="20" customWidth="1" min="23" max="23"/>
  </cols>
  <sheetData>
    <row r="1" ht="30" customHeight="1">
      <c r="A1" s="1" t="inlineStr">
        <is>
          <t>BẢNG CỬU CHƯƠNG NHÂN TOÀN TRƯỜNG GF(2^4) (16 x 16) &amp; KIỂM CHỨNG TÍNH CHẤT SONG ÁNH</t>
        </is>
      </c>
    </row>
    <row r="2" ht="21" customHeight="1">
      <c r="A2" s="2">
        <f>"Đang tính tự động theo đa thức tối giản m(x) = " &amp; Mo_Phong_Tung_Buoc!F8 &amp; " (Ô màu xanh lá = 1 biểu thị cặp phần tử nghịch đảo nhân a * b = 1)"</f>
        <v/>
      </c>
    </row>
    <row r="4">
      <c r="A4" s="26" t="inlineStr">
        <is>
          <t>A \ B</t>
        </is>
      </c>
      <c r="B4" s="26" t="inlineStr">
        <is>
          <t>Đa thức</t>
        </is>
      </c>
      <c r="C4" s="27" t="inlineStr">
        <is>
          <t>0x0</t>
        </is>
      </c>
      <c r="D4" s="27" t="inlineStr">
        <is>
          <t>0x1</t>
        </is>
      </c>
      <c r="E4" s="27" t="inlineStr">
        <is>
          <t>0x2</t>
        </is>
      </c>
      <c r="F4" s="27" t="inlineStr">
        <is>
          <t>0x3</t>
        </is>
      </c>
      <c r="G4" s="27" t="inlineStr">
        <is>
          <t>0x4</t>
        </is>
      </c>
      <c r="H4" s="27" t="inlineStr">
        <is>
          <t>0x5</t>
        </is>
      </c>
      <c r="I4" s="27" t="inlineStr">
        <is>
          <t>0x6</t>
        </is>
      </c>
      <c r="J4" s="27" t="inlineStr">
        <is>
          <t>0x7</t>
        </is>
      </c>
      <c r="K4" s="27" t="inlineStr">
        <is>
          <t>0x8</t>
        </is>
      </c>
      <c r="L4" s="27" t="inlineStr">
        <is>
          <t>0x9</t>
        </is>
      </c>
      <c r="M4" s="27" t="inlineStr">
        <is>
          <t>0xA</t>
        </is>
      </c>
      <c r="N4" s="27" t="inlineStr">
        <is>
          <t>0xB</t>
        </is>
      </c>
      <c r="O4" s="27" t="inlineStr">
        <is>
          <t>0xC</t>
        </is>
      </c>
      <c r="P4" s="27" t="inlineStr">
        <is>
          <t>0xD</t>
        </is>
      </c>
      <c r="Q4" s="27" t="inlineStr">
        <is>
          <t>0xE</t>
        </is>
      </c>
      <c r="R4" s="27" t="inlineStr">
        <is>
          <t>0xF</t>
        </is>
      </c>
      <c r="T4" s="28" t="inlineStr">
        <is>
          <t>THỐNG KÊ TẦN SUẤT KẾT QUẢ</t>
        </is>
      </c>
    </row>
    <row r="5">
      <c r="A5" s="29" t="inlineStr">
        <is>
          <t>Thập phân</t>
        </is>
      </c>
      <c r="B5" s="29" t="inlineStr">
        <is>
          <t>f(x)</t>
        </is>
      </c>
      <c r="C5" s="4" t="n">
        <v>0</v>
      </c>
      <c r="D5" s="4" t="n">
        <v>1</v>
      </c>
      <c r="E5" s="4" t="n">
        <v>2</v>
      </c>
      <c r="F5" s="4" t="n">
        <v>3</v>
      </c>
      <c r="G5" s="4" t="n">
        <v>4</v>
      </c>
      <c r="H5" s="4" t="n">
        <v>5</v>
      </c>
      <c r="I5" s="4" t="n">
        <v>6</v>
      </c>
      <c r="J5" s="4" t="n">
        <v>7</v>
      </c>
      <c r="K5" s="4" t="n">
        <v>8</v>
      </c>
      <c r="L5" s="4" t="n">
        <v>9</v>
      </c>
      <c r="M5" s="4" t="n">
        <v>10</v>
      </c>
      <c r="N5" s="4" t="n">
        <v>11</v>
      </c>
      <c r="O5" s="4" t="n">
        <v>12</v>
      </c>
      <c r="P5" s="4" t="n">
        <v>13</v>
      </c>
      <c r="Q5" s="4" t="n">
        <v>14</v>
      </c>
      <c r="R5" s="4" t="n">
        <v>15</v>
      </c>
      <c r="T5" s="4" t="inlineStr">
        <is>
          <t>Giá trị</t>
        </is>
      </c>
      <c r="U5" s="4" t="inlineStr">
        <is>
          <t>Đa thức</t>
        </is>
      </c>
      <c r="V5" s="4" t="inlineStr">
        <is>
          <t>Toàn bảng (16x16)</t>
        </is>
      </c>
      <c r="W5" s="4" t="inlineStr">
        <is>
          <t>Nhóm nhân khác 0 (15x15)</t>
        </is>
      </c>
    </row>
    <row r="6" ht="20" customHeight="1">
      <c r="A6" s="30" t="n">
        <v>0</v>
      </c>
      <c r="B6" s="31" t="inlineStr">
        <is>
          <t>0</t>
        </is>
      </c>
      <c r="C6" s="14">
        <f>MOD(MOD(C$5,2)*INT(Bang_Tra_Cuu!$I$5/1)+MOD(INT(C$5/2),2)*INT(Bang_Tra_Cuu!$J$5/1)+MOD(INT(C$5/4),2)*INT(Bang_Tra_Cuu!$K$5/1)+MOD(INT(C$5/8),2)*INT(Bang_Tra_Cuu!$L$5/1),2)*1+MOD(MOD(C$5,2)*INT(Bang_Tra_Cuu!$I$5/2)+MOD(INT(C$5/2),2)*INT(Bang_Tra_Cuu!$J$5/2)+MOD(INT(C$5/4),2)*INT(Bang_Tra_Cuu!$K$5/2)+MOD(INT(C$5/8),2)*INT(Bang_Tra_Cuu!$L$5/2),2)*2+MOD(MOD(C$5,2)*INT(Bang_Tra_Cuu!$I$5/4)+MOD(INT(C$5/2),2)*INT(Bang_Tra_Cuu!$J$5/4)+MOD(INT(C$5/4),2)*INT(Bang_Tra_Cuu!$K$5/4)+MOD(INT(C$5/8),2)*INT(Bang_Tra_Cuu!$L$5/4),2)*4+MOD(MOD(C$5,2)*INT(Bang_Tra_Cuu!$I$5/8)+MOD(INT(C$5/2),2)*INT(Bang_Tra_Cuu!$J$5/8)+MOD(INT(C$5/4),2)*INT(Bang_Tra_Cuu!$K$5/8)+MOD(INT(C$5/8),2)*INT(Bang_Tra_Cuu!$L$5/8),2)*8</f>
        <v/>
      </c>
      <c r="D6" s="17">
        <f>MOD(MOD(D$5,2)*INT(Bang_Tra_Cuu!$I$5/1)+MOD(INT(D$5/2),2)*INT(Bang_Tra_Cuu!$J$5/1)+MOD(INT(D$5/4),2)*INT(Bang_Tra_Cuu!$K$5/1)+MOD(INT(D$5/8),2)*INT(Bang_Tra_Cuu!$L$5/1),2)*1+MOD(MOD(D$5,2)*INT(Bang_Tra_Cuu!$I$5/2)+MOD(INT(D$5/2),2)*INT(Bang_Tra_Cuu!$J$5/2)+MOD(INT(D$5/4),2)*INT(Bang_Tra_Cuu!$K$5/2)+MOD(INT(D$5/8),2)*INT(Bang_Tra_Cuu!$L$5/2),2)*2+MOD(MOD(D$5,2)*INT(Bang_Tra_Cuu!$I$5/4)+MOD(INT(D$5/2),2)*INT(Bang_Tra_Cuu!$J$5/4)+MOD(INT(D$5/4),2)*INT(Bang_Tra_Cuu!$K$5/4)+MOD(INT(D$5/8),2)*INT(Bang_Tra_Cuu!$L$5/4),2)*4+MOD(MOD(D$5,2)*INT(Bang_Tra_Cuu!$I$5/8)+MOD(INT(D$5/2),2)*INT(Bang_Tra_Cuu!$J$5/8)+MOD(INT(D$5/4),2)*INT(Bang_Tra_Cuu!$K$5/8)+MOD(INT(D$5/8),2)*INT(Bang_Tra_Cuu!$L$5/8),2)*8</f>
        <v/>
      </c>
      <c r="E6" s="14">
        <f>MOD(MOD(E$5,2)*INT(Bang_Tra_Cuu!$I$5/1)+MOD(INT(E$5/2),2)*INT(Bang_Tra_Cuu!$J$5/1)+MOD(INT(E$5/4),2)*INT(Bang_Tra_Cuu!$K$5/1)+MOD(INT(E$5/8),2)*INT(Bang_Tra_Cuu!$L$5/1),2)*1+MOD(MOD(E$5,2)*INT(Bang_Tra_Cuu!$I$5/2)+MOD(INT(E$5/2),2)*INT(Bang_Tra_Cuu!$J$5/2)+MOD(INT(E$5/4),2)*INT(Bang_Tra_Cuu!$K$5/2)+MOD(INT(E$5/8),2)*INT(Bang_Tra_Cuu!$L$5/2),2)*2+MOD(MOD(E$5,2)*INT(Bang_Tra_Cuu!$I$5/4)+MOD(INT(E$5/2),2)*INT(Bang_Tra_Cuu!$J$5/4)+MOD(INT(E$5/4),2)*INT(Bang_Tra_Cuu!$K$5/4)+MOD(INT(E$5/8),2)*INT(Bang_Tra_Cuu!$L$5/4),2)*4+MOD(MOD(E$5,2)*INT(Bang_Tra_Cuu!$I$5/8)+MOD(INT(E$5/2),2)*INT(Bang_Tra_Cuu!$J$5/8)+MOD(INT(E$5/4),2)*INT(Bang_Tra_Cuu!$K$5/8)+MOD(INT(E$5/8),2)*INT(Bang_Tra_Cuu!$L$5/8),2)*8</f>
        <v/>
      </c>
      <c r="F6" s="17">
        <f>MOD(MOD(F$5,2)*INT(Bang_Tra_Cuu!$I$5/1)+MOD(INT(F$5/2),2)*INT(Bang_Tra_Cuu!$J$5/1)+MOD(INT(F$5/4),2)*INT(Bang_Tra_Cuu!$K$5/1)+MOD(INT(F$5/8),2)*INT(Bang_Tra_Cuu!$L$5/1),2)*1+MOD(MOD(F$5,2)*INT(Bang_Tra_Cuu!$I$5/2)+MOD(INT(F$5/2),2)*INT(Bang_Tra_Cuu!$J$5/2)+MOD(INT(F$5/4),2)*INT(Bang_Tra_Cuu!$K$5/2)+MOD(INT(F$5/8),2)*INT(Bang_Tra_Cuu!$L$5/2),2)*2+MOD(MOD(F$5,2)*INT(Bang_Tra_Cuu!$I$5/4)+MOD(INT(F$5/2),2)*INT(Bang_Tra_Cuu!$J$5/4)+MOD(INT(F$5/4),2)*INT(Bang_Tra_Cuu!$K$5/4)+MOD(INT(F$5/8),2)*INT(Bang_Tra_Cuu!$L$5/4),2)*4+MOD(MOD(F$5,2)*INT(Bang_Tra_Cuu!$I$5/8)+MOD(INT(F$5/2),2)*INT(Bang_Tra_Cuu!$J$5/8)+MOD(INT(F$5/4),2)*INT(Bang_Tra_Cuu!$K$5/8)+MOD(INT(F$5/8),2)*INT(Bang_Tra_Cuu!$L$5/8),2)*8</f>
        <v/>
      </c>
      <c r="G6" s="14">
        <f>MOD(MOD(G$5,2)*INT(Bang_Tra_Cuu!$I$5/1)+MOD(INT(G$5/2),2)*INT(Bang_Tra_Cuu!$J$5/1)+MOD(INT(G$5/4),2)*INT(Bang_Tra_Cuu!$K$5/1)+MOD(INT(G$5/8),2)*INT(Bang_Tra_Cuu!$L$5/1),2)*1+MOD(MOD(G$5,2)*INT(Bang_Tra_Cuu!$I$5/2)+MOD(INT(G$5/2),2)*INT(Bang_Tra_Cuu!$J$5/2)+MOD(INT(G$5/4),2)*INT(Bang_Tra_Cuu!$K$5/2)+MOD(INT(G$5/8),2)*INT(Bang_Tra_Cuu!$L$5/2),2)*2+MOD(MOD(G$5,2)*INT(Bang_Tra_Cuu!$I$5/4)+MOD(INT(G$5/2),2)*INT(Bang_Tra_Cuu!$J$5/4)+MOD(INT(G$5/4),2)*INT(Bang_Tra_Cuu!$K$5/4)+MOD(INT(G$5/8),2)*INT(Bang_Tra_Cuu!$L$5/4),2)*4+MOD(MOD(G$5,2)*INT(Bang_Tra_Cuu!$I$5/8)+MOD(INT(G$5/2),2)*INT(Bang_Tra_Cuu!$J$5/8)+MOD(INT(G$5/4),2)*INT(Bang_Tra_Cuu!$K$5/8)+MOD(INT(G$5/8),2)*INT(Bang_Tra_Cuu!$L$5/8),2)*8</f>
        <v/>
      </c>
      <c r="H6" s="17">
        <f>MOD(MOD(H$5,2)*INT(Bang_Tra_Cuu!$I$5/1)+MOD(INT(H$5/2),2)*INT(Bang_Tra_Cuu!$J$5/1)+MOD(INT(H$5/4),2)*INT(Bang_Tra_Cuu!$K$5/1)+MOD(INT(H$5/8),2)*INT(Bang_Tra_Cuu!$L$5/1),2)*1+MOD(MOD(H$5,2)*INT(Bang_Tra_Cuu!$I$5/2)+MOD(INT(H$5/2),2)*INT(Bang_Tra_Cuu!$J$5/2)+MOD(INT(H$5/4),2)*INT(Bang_Tra_Cuu!$K$5/2)+MOD(INT(H$5/8),2)*INT(Bang_Tra_Cuu!$L$5/2),2)*2+MOD(MOD(H$5,2)*INT(Bang_Tra_Cuu!$I$5/4)+MOD(INT(H$5/2),2)*INT(Bang_Tra_Cuu!$J$5/4)+MOD(INT(H$5/4),2)*INT(Bang_Tra_Cuu!$K$5/4)+MOD(INT(H$5/8),2)*INT(Bang_Tra_Cuu!$L$5/4),2)*4+MOD(MOD(H$5,2)*INT(Bang_Tra_Cuu!$I$5/8)+MOD(INT(H$5/2),2)*INT(Bang_Tra_Cuu!$J$5/8)+MOD(INT(H$5/4),2)*INT(Bang_Tra_Cuu!$K$5/8)+MOD(INT(H$5/8),2)*INT(Bang_Tra_Cuu!$L$5/8),2)*8</f>
        <v/>
      </c>
      <c r="I6" s="14">
        <f>MOD(MOD(I$5,2)*INT(Bang_Tra_Cuu!$I$5/1)+MOD(INT(I$5/2),2)*INT(Bang_Tra_Cuu!$J$5/1)+MOD(INT(I$5/4),2)*INT(Bang_Tra_Cuu!$K$5/1)+MOD(INT(I$5/8),2)*INT(Bang_Tra_Cuu!$L$5/1),2)*1+MOD(MOD(I$5,2)*INT(Bang_Tra_Cuu!$I$5/2)+MOD(INT(I$5/2),2)*INT(Bang_Tra_Cuu!$J$5/2)+MOD(INT(I$5/4),2)*INT(Bang_Tra_Cuu!$K$5/2)+MOD(INT(I$5/8),2)*INT(Bang_Tra_Cuu!$L$5/2),2)*2+MOD(MOD(I$5,2)*INT(Bang_Tra_Cuu!$I$5/4)+MOD(INT(I$5/2),2)*INT(Bang_Tra_Cuu!$J$5/4)+MOD(INT(I$5/4),2)*INT(Bang_Tra_Cuu!$K$5/4)+MOD(INT(I$5/8),2)*INT(Bang_Tra_Cuu!$L$5/4),2)*4+MOD(MOD(I$5,2)*INT(Bang_Tra_Cuu!$I$5/8)+MOD(INT(I$5/2),2)*INT(Bang_Tra_Cuu!$J$5/8)+MOD(INT(I$5/4),2)*INT(Bang_Tra_Cuu!$K$5/8)+MOD(INT(I$5/8),2)*INT(Bang_Tra_Cuu!$L$5/8),2)*8</f>
        <v/>
      </c>
      <c r="J6" s="17">
        <f>MOD(MOD(J$5,2)*INT(Bang_Tra_Cuu!$I$5/1)+MOD(INT(J$5/2),2)*INT(Bang_Tra_Cuu!$J$5/1)+MOD(INT(J$5/4),2)*INT(Bang_Tra_Cuu!$K$5/1)+MOD(INT(J$5/8),2)*INT(Bang_Tra_Cuu!$L$5/1),2)*1+MOD(MOD(J$5,2)*INT(Bang_Tra_Cuu!$I$5/2)+MOD(INT(J$5/2),2)*INT(Bang_Tra_Cuu!$J$5/2)+MOD(INT(J$5/4),2)*INT(Bang_Tra_Cuu!$K$5/2)+MOD(INT(J$5/8),2)*INT(Bang_Tra_Cuu!$L$5/2),2)*2+MOD(MOD(J$5,2)*INT(Bang_Tra_Cuu!$I$5/4)+MOD(INT(J$5/2),2)*INT(Bang_Tra_Cuu!$J$5/4)+MOD(INT(J$5/4),2)*INT(Bang_Tra_Cuu!$K$5/4)+MOD(INT(J$5/8),2)*INT(Bang_Tra_Cuu!$L$5/4),2)*4+MOD(MOD(J$5,2)*INT(Bang_Tra_Cuu!$I$5/8)+MOD(INT(J$5/2),2)*INT(Bang_Tra_Cuu!$J$5/8)+MOD(INT(J$5/4),2)*INT(Bang_Tra_Cuu!$K$5/8)+MOD(INT(J$5/8),2)*INT(Bang_Tra_Cuu!$L$5/8),2)*8</f>
        <v/>
      </c>
      <c r="K6" s="14">
        <f>MOD(MOD(K$5,2)*INT(Bang_Tra_Cuu!$I$5/1)+MOD(INT(K$5/2),2)*INT(Bang_Tra_Cuu!$J$5/1)+MOD(INT(K$5/4),2)*INT(Bang_Tra_Cuu!$K$5/1)+MOD(INT(K$5/8),2)*INT(Bang_Tra_Cuu!$L$5/1),2)*1+MOD(MOD(K$5,2)*INT(Bang_Tra_Cuu!$I$5/2)+MOD(INT(K$5/2),2)*INT(Bang_Tra_Cuu!$J$5/2)+MOD(INT(K$5/4),2)*INT(Bang_Tra_Cuu!$K$5/2)+MOD(INT(K$5/8),2)*INT(Bang_Tra_Cuu!$L$5/2),2)*2+MOD(MOD(K$5,2)*INT(Bang_Tra_Cuu!$I$5/4)+MOD(INT(K$5/2),2)*INT(Bang_Tra_Cuu!$J$5/4)+MOD(INT(K$5/4),2)*INT(Bang_Tra_Cuu!$K$5/4)+MOD(INT(K$5/8),2)*INT(Bang_Tra_Cuu!$L$5/4),2)*4+MOD(MOD(K$5,2)*INT(Bang_Tra_Cuu!$I$5/8)+MOD(INT(K$5/2),2)*INT(Bang_Tra_Cuu!$J$5/8)+MOD(INT(K$5/4),2)*INT(Bang_Tra_Cuu!$K$5/8)+MOD(INT(K$5/8),2)*INT(Bang_Tra_Cuu!$L$5/8),2)*8</f>
        <v/>
      </c>
      <c r="L6" s="17">
        <f>MOD(MOD(L$5,2)*INT(Bang_Tra_Cuu!$I$5/1)+MOD(INT(L$5/2),2)*INT(Bang_Tra_Cuu!$J$5/1)+MOD(INT(L$5/4),2)*INT(Bang_Tra_Cuu!$K$5/1)+MOD(INT(L$5/8),2)*INT(Bang_Tra_Cuu!$L$5/1),2)*1+MOD(MOD(L$5,2)*INT(Bang_Tra_Cuu!$I$5/2)+MOD(INT(L$5/2),2)*INT(Bang_Tra_Cuu!$J$5/2)+MOD(INT(L$5/4),2)*INT(Bang_Tra_Cuu!$K$5/2)+MOD(INT(L$5/8),2)*INT(Bang_Tra_Cuu!$L$5/2),2)*2+MOD(MOD(L$5,2)*INT(Bang_Tra_Cuu!$I$5/4)+MOD(INT(L$5/2),2)*INT(Bang_Tra_Cuu!$J$5/4)+MOD(INT(L$5/4),2)*INT(Bang_Tra_Cuu!$K$5/4)+MOD(INT(L$5/8),2)*INT(Bang_Tra_Cuu!$L$5/4),2)*4+MOD(MOD(L$5,2)*INT(Bang_Tra_Cuu!$I$5/8)+MOD(INT(L$5/2),2)*INT(Bang_Tra_Cuu!$J$5/8)+MOD(INT(L$5/4),2)*INT(Bang_Tra_Cuu!$K$5/8)+MOD(INT(L$5/8),2)*INT(Bang_Tra_Cuu!$L$5/8),2)*8</f>
        <v/>
      </c>
      <c r="M6" s="14">
        <f>MOD(MOD(M$5,2)*INT(Bang_Tra_Cuu!$I$5/1)+MOD(INT(M$5/2),2)*INT(Bang_Tra_Cuu!$J$5/1)+MOD(INT(M$5/4),2)*INT(Bang_Tra_Cuu!$K$5/1)+MOD(INT(M$5/8),2)*INT(Bang_Tra_Cuu!$L$5/1),2)*1+MOD(MOD(M$5,2)*INT(Bang_Tra_Cuu!$I$5/2)+MOD(INT(M$5/2),2)*INT(Bang_Tra_Cuu!$J$5/2)+MOD(INT(M$5/4),2)*INT(Bang_Tra_Cuu!$K$5/2)+MOD(INT(M$5/8),2)*INT(Bang_Tra_Cuu!$L$5/2),2)*2+MOD(MOD(M$5,2)*INT(Bang_Tra_Cuu!$I$5/4)+MOD(INT(M$5/2),2)*INT(Bang_Tra_Cuu!$J$5/4)+MOD(INT(M$5/4),2)*INT(Bang_Tra_Cuu!$K$5/4)+MOD(INT(M$5/8),2)*INT(Bang_Tra_Cuu!$L$5/4),2)*4+MOD(MOD(M$5,2)*INT(Bang_Tra_Cuu!$I$5/8)+MOD(INT(M$5/2),2)*INT(Bang_Tra_Cuu!$J$5/8)+MOD(INT(M$5/4),2)*INT(Bang_Tra_Cuu!$K$5/8)+MOD(INT(M$5/8),2)*INT(Bang_Tra_Cuu!$L$5/8),2)*8</f>
        <v/>
      </c>
      <c r="N6" s="17">
        <f>MOD(MOD(N$5,2)*INT(Bang_Tra_Cuu!$I$5/1)+MOD(INT(N$5/2),2)*INT(Bang_Tra_Cuu!$J$5/1)+MOD(INT(N$5/4),2)*INT(Bang_Tra_Cuu!$K$5/1)+MOD(INT(N$5/8),2)*INT(Bang_Tra_Cuu!$L$5/1),2)*1+MOD(MOD(N$5,2)*INT(Bang_Tra_Cuu!$I$5/2)+MOD(INT(N$5/2),2)*INT(Bang_Tra_Cuu!$J$5/2)+MOD(INT(N$5/4),2)*INT(Bang_Tra_Cuu!$K$5/2)+MOD(INT(N$5/8),2)*INT(Bang_Tra_Cuu!$L$5/2),2)*2+MOD(MOD(N$5,2)*INT(Bang_Tra_Cuu!$I$5/4)+MOD(INT(N$5/2),2)*INT(Bang_Tra_Cuu!$J$5/4)+MOD(INT(N$5/4),2)*INT(Bang_Tra_Cuu!$K$5/4)+MOD(INT(N$5/8),2)*INT(Bang_Tra_Cuu!$L$5/4),2)*4+MOD(MOD(N$5,2)*INT(Bang_Tra_Cuu!$I$5/8)+MOD(INT(N$5/2),2)*INT(Bang_Tra_Cuu!$J$5/8)+MOD(INT(N$5/4),2)*INT(Bang_Tra_Cuu!$K$5/8)+MOD(INT(N$5/8),2)*INT(Bang_Tra_Cuu!$L$5/8),2)*8</f>
        <v/>
      </c>
      <c r="O6" s="14">
        <f>MOD(MOD(O$5,2)*INT(Bang_Tra_Cuu!$I$5/1)+MOD(INT(O$5/2),2)*INT(Bang_Tra_Cuu!$J$5/1)+MOD(INT(O$5/4),2)*INT(Bang_Tra_Cuu!$K$5/1)+MOD(INT(O$5/8),2)*INT(Bang_Tra_Cuu!$L$5/1),2)*1+MOD(MOD(O$5,2)*INT(Bang_Tra_Cuu!$I$5/2)+MOD(INT(O$5/2),2)*INT(Bang_Tra_Cuu!$J$5/2)+MOD(INT(O$5/4),2)*INT(Bang_Tra_Cuu!$K$5/2)+MOD(INT(O$5/8),2)*INT(Bang_Tra_Cuu!$L$5/2),2)*2+MOD(MOD(O$5,2)*INT(Bang_Tra_Cuu!$I$5/4)+MOD(INT(O$5/2),2)*INT(Bang_Tra_Cuu!$J$5/4)+MOD(INT(O$5/4),2)*INT(Bang_Tra_Cuu!$K$5/4)+MOD(INT(O$5/8),2)*INT(Bang_Tra_Cuu!$L$5/4),2)*4+MOD(MOD(O$5,2)*INT(Bang_Tra_Cuu!$I$5/8)+MOD(INT(O$5/2),2)*INT(Bang_Tra_Cuu!$J$5/8)+MOD(INT(O$5/4),2)*INT(Bang_Tra_Cuu!$K$5/8)+MOD(INT(O$5/8),2)*INT(Bang_Tra_Cuu!$L$5/8),2)*8</f>
        <v/>
      </c>
      <c r="P6" s="17">
        <f>MOD(MOD(P$5,2)*INT(Bang_Tra_Cuu!$I$5/1)+MOD(INT(P$5/2),2)*INT(Bang_Tra_Cuu!$J$5/1)+MOD(INT(P$5/4),2)*INT(Bang_Tra_Cuu!$K$5/1)+MOD(INT(P$5/8),2)*INT(Bang_Tra_Cuu!$L$5/1),2)*1+MOD(MOD(P$5,2)*INT(Bang_Tra_Cuu!$I$5/2)+MOD(INT(P$5/2),2)*INT(Bang_Tra_Cuu!$J$5/2)+MOD(INT(P$5/4),2)*INT(Bang_Tra_Cuu!$K$5/2)+MOD(INT(P$5/8),2)*INT(Bang_Tra_Cuu!$L$5/2),2)*2+MOD(MOD(P$5,2)*INT(Bang_Tra_Cuu!$I$5/4)+MOD(INT(P$5/2),2)*INT(Bang_Tra_Cuu!$J$5/4)+MOD(INT(P$5/4),2)*INT(Bang_Tra_Cuu!$K$5/4)+MOD(INT(P$5/8),2)*INT(Bang_Tra_Cuu!$L$5/4),2)*4+MOD(MOD(P$5,2)*INT(Bang_Tra_Cuu!$I$5/8)+MOD(INT(P$5/2),2)*INT(Bang_Tra_Cuu!$J$5/8)+MOD(INT(P$5/4),2)*INT(Bang_Tra_Cuu!$K$5/8)+MOD(INT(P$5/8),2)*INT(Bang_Tra_Cuu!$L$5/8),2)*8</f>
        <v/>
      </c>
      <c r="Q6" s="14">
        <f>MOD(MOD(Q$5,2)*INT(Bang_Tra_Cuu!$I$5/1)+MOD(INT(Q$5/2),2)*INT(Bang_Tra_Cuu!$J$5/1)+MOD(INT(Q$5/4),2)*INT(Bang_Tra_Cuu!$K$5/1)+MOD(INT(Q$5/8),2)*INT(Bang_Tra_Cuu!$L$5/1),2)*1+MOD(MOD(Q$5,2)*INT(Bang_Tra_Cuu!$I$5/2)+MOD(INT(Q$5/2),2)*INT(Bang_Tra_Cuu!$J$5/2)+MOD(INT(Q$5/4),2)*INT(Bang_Tra_Cuu!$K$5/2)+MOD(INT(Q$5/8),2)*INT(Bang_Tra_Cuu!$L$5/2),2)*2+MOD(MOD(Q$5,2)*INT(Bang_Tra_Cuu!$I$5/4)+MOD(INT(Q$5/2),2)*INT(Bang_Tra_Cuu!$J$5/4)+MOD(INT(Q$5/4),2)*INT(Bang_Tra_Cuu!$K$5/4)+MOD(INT(Q$5/8),2)*INT(Bang_Tra_Cuu!$L$5/4),2)*4+MOD(MOD(Q$5,2)*INT(Bang_Tra_Cuu!$I$5/8)+MOD(INT(Q$5/2),2)*INT(Bang_Tra_Cuu!$J$5/8)+MOD(INT(Q$5/4),2)*INT(Bang_Tra_Cuu!$K$5/8)+MOD(INT(Q$5/8),2)*INT(Bang_Tra_Cuu!$L$5/8),2)*8</f>
        <v/>
      </c>
      <c r="R6" s="17">
        <f>MOD(MOD(R$5,2)*INT(Bang_Tra_Cuu!$I$5/1)+MOD(INT(R$5/2),2)*INT(Bang_Tra_Cuu!$J$5/1)+MOD(INT(R$5/4),2)*INT(Bang_Tra_Cuu!$K$5/1)+MOD(INT(R$5/8),2)*INT(Bang_Tra_Cuu!$L$5/1),2)*1+MOD(MOD(R$5,2)*INT(Bang_Tra_Cuu!$I$5/2)+MOD(INT(R$5/2),2)*INT(Bang_Tra_Cuu!$J$5/2)+MOD(INT(R$5/4),2)*INT(Bang_Tra_Cuu!$K$5/2)+MOD(INT(R$5/8),2)*INT(Bang_Tra_Cuu!$L$5/2),2)*2+MOD(MOD(R$5,2)*INT(Bang_Tra_Cuu!$I$5/4)+MOD(INT(R$5/2),2)*INT(Bang_Tra_Cuu!$J$5/4)+MOD(INT(R$5/4),2)*INT(Bang_Tra_Cuu!$K$5/4)+MOD(INT(R$5/8),2)*INT(Bang_Tra_Cuu!$L$5/4),2)*4+MOD(MOD(R$5,2)*INT(Bang_Tra_Cuu!$I$5/8)+MOD(INT(R$5/2),2)*INT(Bang_Tra_Cuu!$J$5/8)+MOD(INT(R$5/4),2)*INT(Bang_Tra_Cuu!$K$5/8)+MOD(INT(R$5/8),2)*INT(Bang_Tra_Cuu!$L$5/8),2)*8</f>
        <v/>
      </c>
      <c r="T6" s="14" t="n">
        <v>0</v>
      </c>
      <c r="U6" s="6" t="inlineStr">
        <is>
          <t>0</t>
        </is>
      </c>
      <c r="V6" s="14">
        <f>COUNTIF($C$6:$R$21, T6)</f>
        <v/>
      </c>
      <c r="W6" s="14">
        <f>COUNTIF($D$7:$R$21, T6)</f>
        <v/>
      </c>
    </row>
    <row r="7" ht="20" customHeight="1">
      <c r="A7" s="30" t="n">
        <v>1</v>
      </c>
      <c r="B7" s="31" t="inlineStr">
        <is>
          <t>1</t>
        </is>
      </c>
      <c r="C7" s="17">
        <f>MOD(MOD(C$5,2)*INT(Bang_Tra_Cuu!$I$6/1)+MOD(INT(C$5/2),2)*INT(Bang_Tra_Cuu!$J$6/1)+MOD(INT(C$5/4),2)*INT(Bang_Tra_Cuu!$K$6/1)+MOD(INT(C$5/8),2)*INT(Bang_Tra_Cuu!$L$6/1),2)*1+MOD(MOD(C$5,2)*INT(Bang_Tra_Cuu!$I$6/2)+MOD(INT(C$5/2),2)*INT(Bang_Tra_Cuu!$J$6/2)+MOD(INT(C$5/4),2)*INT(Bang_Tra_Cuu!$K$6/2)+MOD(INT(C$5/8),2)*INT(Bang_Tra_Cuu!$L$6/2),2)*2+MOD(MOD(C$5,2)*INT(Bang_Tra_Cuu!$I$6/4)+MOD(INT(C$5/2),2)*INT(Bang_Tra_Cuu!$J$6/4)+MOD(INT(C$5/4),2)*INT(Bang_Tra_Cuu!$K$6/4)+MOD(INT(C$5/8),2)*INT(Bang_Tra_Cuu!$L$6/4),2)*4+MOD(MOD(C$5,2)*INT(Bang_Tra_Cuu!$I$6/8)+MOD(INT(C$5/2),2)*INT(Bang_Tra_Cuu!$J$6/8)+MOD(INT(C$5/4),2)*INT(Bang_Tra_Cuu!$K$6/8)+MOD(INT(C$5/8),2)*INT(Bang_Tra_Cuu!$L$6/8),2)*8</f>
        <v/>
      </c>
      <c r="D7" s="14">
        <f>MOD(MOD(D$5,2)*INT(Bang_Tra_Cuu!$I$6/1)+MOD(INT(D$5/2),2)*INT(Bang_Tra_Cuu!$J$6/1)+MOD(INT(D$5/4),2)*INT(Bang_Tra_Cuu!$K$6/1)+MOD(INT(D$5/8),2)*INT(Bang_Tra_Cuu!$L$6/1),2)*1+MOD(MOD(D$5,2)*INT(Bang_Tra_Cuu!$I$6/2)+MOD(INT(D$5/2),2)*INT(Bang_Tra_Cuu!$J$6/2)+MOD(INT(D$5/4),2)*INT(Bang_Tra_Cuu!$K$6/2)+MOD(INT(D$5/8),2)*INT(Bang_Tra_Cuu!$L$6/2),2)*2+MOD(MOD(D$5,2)*INT(Bang_Tra_Cuu!$I$6/4)+MOD(INT(D$5/2),2)*INT(Bang_Tra_Cuu!$J$6/4)+MOD(INT(D$5/4),2)*INT(Bang_Tra_Cuu!$K$6/4)+MOD(INT(D$5/8),2)*INT(Bang_Tra_Cuu!$L$6/4),2)*4+MOD(MOD(D$5,2)*INT(Bang_Tra_Cuu!$I$6/8)+MOD(INT(D$5/2),2)*INT(Bang_Tra_Cuu!$J$6/8)+MOD(INT(D$5/4),2)*INT(Bang_Tra_Cuu!$K$6/8)+MOD(INT(D$5/8),2)*INT(Bang_Tra_Cuu!$L$6/8),2)*8</f>
        <v/>
      </c>
      <c r="E7" s="17">
        <f>MOD(MOD(E$5,2)*INT(Bang_Tra_Cuu!$I$6/1)+MOD(INT(E$5/2),2)*INT(Bang_Tra_Cuu!$J$6/1)+MOD(INT(E$5/4),2)*INT(Bang_Tra_Cuu!$K$6/1)+MOD(INT(E$5/8),2)*INT(Bang_Tra_Cuu!$L$6/1),2)*1+MOD(MOD(E$5,2)*INT(Bang_Tra_Cuu!$I$6/2)+MOD(INT(E$5/2),2)*INT(Bang_Tra_Cuu!$J$6/2)+MOD(INT(E$5/4),2)*INT(Bang_Tra_Cuu!$K$6/2)+MOD(INT(E$5/8),2)*INT(Bang_Tra_Cuu!$L$6/2),2)*2+MOD(MOD(E$5,2)*INT(Bang_Tra_Cuu!$I$6/4)+MOD(INT(E$5/2),2)*INT(Bang_Tra_Cuu!$J$6/4)+MOD(INT(E$5/4),2)*INT(Bang_Tra_Cuu!$K$6/4)+MOD(INT(E$5/8),2)*INT(Bang_Tra_Cuu!$L$6/4),2)*4+MOD(MOD(E$5,2)*INT(Bang_Tra_Cuu!$I$6/8)+MOD(INT(E$5/2),2)*INT(Bang_Tra_Cuu!$J$6/8)+MOD(INT(E$5/4),2)*INT(Bang_Tra_Cuu!$K$6/8)+MOD(INT(E$5/8),2)*INT(Bang_Tra_Cuu!$L$6/8),2)*8</f>
        <v/>
      </c>
      <c r="F7" s="14">
        <f>MOD(MOD(F$5,2)*INT(Bang_Tra_Cuu!$I$6/1)+MOD(INT(F$5/2),2)*INT(Bang_Tra_Cuu!$J$6/1)+MOD(INT(F$5/4),2)*INT(Bang_Tra_Cuu!$K$6/1)+MOD(INT(F$5/8),2)*INT(Bang_Tra_Cuu!$L$6/1),2)*1+MOD(MOD(F$5,2)*INT(Bang_Tra_Cuu!$I$6/2)+MOD(INT(F$5/2),2)*INT(Bang_Tra_Cuu!$J$6/2)+MOD(INT(F$5/4),2)*INT(Bang_Tra_Cuu!$K$6/2)+MOD(INT(F$5/8),2)*INT(Bang_Tra_Cuu!$L$6/2),2)*2+MOD(MOD(F$5,2)*INT(Bang_Tra_Cuu!$I$6/4)+MOD(INT(F$5/2),2)*INT(Bang_Tra_Cuu!$J$6/4)+MOD(INT(F$5/4),2)*INT(Bang_Tra_Cuu!$K$6/4)+MOD(INT(F$5/8),2)*INT(Bang_Tra_Cuu!$L$6/4),2)*4+MOD(MOD(F$5,2)*INT(Bang_Tra_Cuu!$I$6/8)+MOD(INT(F$5/2),2)*INT(Bang_Tra_Cuu!$J$6/8)+MOD(INT(F$5/4),2)*INT(Bang_Tra_Cuu!$K$6/8)+MOD(INT(F$5/8),2)*INT(Bang_Tra_Cuu!$L$6/8),2)*8</f>
        <v/>
      </c>
      <c r="G7" s="17">
        <f>MOD(MOD(G$5,2)*INT(Bang_Tra_Cuu!$I$6/1)+MOD(INT(G$5/2),2)*INT(Bang_Tra_Cuu!$J$6/1)+MOD(INT(G$5/4),2)*INT(Bang_Tra_Cuu!$K$6/1)+MOD(INT(G$5/8),2)*INT(Bang_Tra_Cuu!$L$6/1),2)*1+MOD(MOD(G$5,2)*INT(Bang_Tra_Cuu!$I$6/2)+MOD(INT(G$5/2),2)*INT(Bang_Tra_Cuu!$J$6/2)+MOD(INT(G$5/4),2)*INT(Bang_Tra_Cuu!$K$6/2)+MOD(INT(G$5/8),2)*INT(Bang_Tra_Cuu!$L$6/2),2)*2+MOD(MOD(G$5,2)*INT(Bang_Tra_Cuu!$I$6/4)+MOD(INT(G$5/2),2)*INT(Bang_Tra_Cuu!$J$6/4)+MOD(INT(G$5/4),2)*INT(Bang_Tra_Cuu!$K$6/4)+MOD(INT(G$5/8),2)*INT(Bang_Tra_Cuu!$L$6/4),2)*4+MOD(MOD(G$5,2)*INT(Bang_Tra_Cuu!$I$6/8)+MOD(INT(G$5/2),2)*INT(Bang_Tra_Cuu!$J$6/8)+MOD(INT(G$5/4),2)*INT(Bang_Tra_Cuu!$K$6/8)+MOD(INT(G$5/8),2)*INT(Bang_Tra_Cuu!$L$6/8),2)*8</f>
        <v/>
      </c>
      <c r="H7" s="14">
        <f>MOD(MOD(H$5,2)*INT(Bang_Tra_Cuu!$I$6/1)+MOD(INT(H$5/2),2)*INT(Bang_Tra_Cuu!$J$6/1)+MOD(INT(H$5/4),2)*INT(Bang_Tra_Cuu!$K$6/1)+MOD(INT(H$5/8),2)*INT(Bang_Tra_Cuu!$L$6/1),2)*1+MOD(MOD(H$5,2)*INT(Bang_Tra_Cuu!$I$6/2)+MOD(INT(H$5/2),2)*INT(Bang_Tra_Cuu!$J$6/2)+MOD(INT(H$5/4),2)*INT(Bang_Tra_Cuu!$K$6/2)+MOD(INT(H$5/8),2)*INT(Bang_Tra_Cuu!$L$6/2),2)*2+MOD(MOD(H$5,2)*INT(Bang_Tra_Cuu!$I$6/4)+MOD(INT(H$5/2),2)*INT(Bang_Tra_Cuu!$J$6/4)+MOD(INT(H$5/4),2)*INT(Bang_Tra_Cuu!$K$6/4)+MOD(INT(H$5/8),2)*INT(Bang_Tra_Cuu!$L$6/4),2)*4+MOD(MOD(H$5,2)*INT(Bang_Tra_Cuu!$I$6/8)+MOD(INT(H$5/2),2)*INT(Bang_Tra_Cuu!$J$6/8)+MOD(INT(H$5/4),2)*INT(Bang_Tra_Cuu!$K$6/8)+MOD(INT(H$5/8),2)*INT(Bang_Tra_Cuu!$L$6/8),2)*8</f>
        <v/>
      </c>
      <c r="I7" s="17">
        <f>MOD(MOD(I$5,2)*INT(Bang_Tra_Cuu!$I$6/1)+MOD(INT(I$5/2),2)*INT(Bang_Tra_Cuu!$J$6/1)+MOD(INT(I$5/4),2)*INT(Bang_Tra_Cuu!$K$6/1)+MOD(INT(I$5/8),2)*INT(Bang_Tra_Cuu!$L$6/1),2)*1+MOD(MOD(I$5,2)*INT(Bang_Tra_Cuu!$I$6/2)+MOD(INT(I$5/2),2)*INT(Bang_Tra_Cuu!$J$6/2)+MOD(INT(I$5/4),2)*INT(Bang_Tra_Cuu!$K$6/2)+MOD(INT(I$5/8),2)*INT(Bang_Tra_Cuu!$L$6/2),2)*2+MOD(MOD(I$5,2)*INT(Bang_Tra_Cuu!$I$6/4)+MOD(INT(I$5/2),2)*INT(Bang_Tra_Cuu!$J$6/4)+MOD(INT(I$5/4),2)*INT(Bang_Tra_Cuu!$K$6/4)+MOD(INT(I$5/8),2)*INT(Bang_Tra_Cuu!$L$6/4),2)*4+MOD(MOD(I$5,2)*INT(Bang_Tra_Cuu!$I$6/8)+MOD(INT(I$5/2),2)*INT(Bang_Tra_Cuu!$J$6/8)+MOD(INT(I$5/4),2)*INT(Bang_Tra_Cuu!$K$6/8)+MOD(INT(I$5/8),2)*INT(Bang_Tra_Cuu!$L$6/8),2)*8</f>
        <v/>
      </c>
      <c r="J7" s="14">
        <f>MOD(MOD(J$5,2)*INT(Bang_Tra_Cuu!$I$6/1)+MOD(INT(J$5/2),2)*INT(Bang_Tra_Cuu!$J$6/1)+MOD(INT(J$5/4),2)*INT(Bang_Tra_Cuu!$K$6/1)+MOD(INT(J$5/8),2)*INT(Bang_Tra_Cuu!$L$6/1),2)*1+MOD(MOD(J$5,2)*INT(Bang_Tra_Cuu!$I$6/2)+MOD(INT(J$5/2),2)*INT(Bang_Tra_Cuu!$J$6/2)+MOD(INT(J$5/4),2)*INT(Bang_Tra_Cuu!$K$6/2)+MOD(INT(J$5/8),2)*INT(Bang_Tra_Cuu!$L$6/2),2)*2+MOD(MOD(J$5,2)*INT(Bang_Tra_Cuu!$I$6/4)+MOD(INT(J$5/2),2)*INT(Bang_Tra_Cuu!$J$6/4)+MOD(INT(J$5/4),2)*INT(Bang_Tra_Cuu!$K$6/4)+MOD(INT(J$5/8),2)*INT(Bang_Tra_Cuu!$L$6/4),2)*4+MOD(MOD(J$5,2)*INT(Bang_Tra_Cuu!$I$6/8)+MOD(INT(J$5/2),2)*INT(Bang_Tra_Cuu!$J$6/8)+MOD(INT(J$5/4),2)*INT(Bang_Tra_Cuu!$K$6/8)+MOD(INT(J$5/8),2)*INT(Bang_Tra_Cuu!$L$6/8),2)*8</f>
        <v/>
      </c>
      <c r="K7" s="17">
        <f>MOD(MOD(K$5,2)*INT(Bang_Tra_Cuu!$I$6/1)+MOD(INT(K$5/2),2)*INT(Bang_Tra_Cuu!$J$6/1)+MOD(INT(K$5/4),2)*INT(Bang_Tra_Cuu!$K$6/1)+MOD(INT(K$5/8),2)*INT(Bang_Tra_Cuu!$L$6/1),2)*1+MOD(MOD(K$5,2)*INT(Bang_Tra_Cuu!$I$6/2)+MOD(INT(K$5/2),2)*INT(Bang_Tra_Cuu!$J$6/2)+MOD(INT(K$5/4),2)*INT(Bang_Tra_Cuu!$K$6/2)+MOD(INT(K$5/8),2)*INT(Bang_Tra_Cuu!$L$6/2),2)*2+MOD(MOD(K$5,2)*INT(Bang_Tra_Cuu!$I$6/4)+MOD(INT(K$5/2),2)*INT(Bang_Tra_Cuu!$J$6/4)+MOD(INT(K$5/4),2)*INT(Bang_Tra_Cuu!$K$6/4)+MOD(INT(K$5/8),2)*INT(Bang_Tra_Cuu!$L$6/4),2)*4+MOD(MOD(K$5,2)*INT(Bang_Tra_Cuu!$I$6/8)+MOD(INT(K$5/2),2)*INT(Bang_Tra_Cuu!$J$6/8)+MOD(INT(K$5/4),2)*INT(Bang_Tra_Cuu!$K$6/8)+MOD(INT(K$5/8),2)*INT(Bang_Tra_Cuu!$L$6/8),2)*8</f>
        <v/>
      </c>
      <c r="L7" s="14">
        <f>MOD(MOD(L$5,2)*INT(Bang_Tra_Cuu!$I$6/1)+MOD(INT(L$5/2),2)*INT(Bang_Tra_Cuu!$J$6/1)+MOD(INT(L$5/4),2)*INT(Bang_Tra_Cuu!$K$6/1)+MOD(INT(L$5/8),2)*INT(Bang_Tra_Cuu!$L$6/1),2)*1+MOD(MOD(L$5,2)*INT(Bang_Tra_Cuu!$I$6/2)+MOD(INT(L$5/2),2)*INT(Bang_Tra_Cuu!$J$6/2)+MOD(INT(L$5/4),2)*INT(Bang_Tra_Cuu!$K$6/2)+MOD(INT(L$5/8),2)*INT(Bang_Tra_Cuu!$L$6/2),2)*2+MOD(MOD(L$5,2)*INT(Bang_Tra_Cuu!$I$6/4)+MOD(INT(L$5/2),2)*INT(Bang_Tra_Cuu!$J$6/4)+MOD(INT(L$5/4),2)*INT(Bang_Tra_Cuu!$K$6/4)+MOD(INT(L$5/8),2)*INT(Bang_Tra_Cuu!$L$6/4),2)*4+MOD(MOD(L$5,2)*INT(Bang_Tra_Cuu!$I$6/8)+MOD(INT(L$5/2),2)*INT(Bang_Tra_Cuu!$J$6/8)+MOD(INT(L$5/4),2)*INT(Bang_Tra_Cuu!$K$6/8)+MOD(INT(L$5/8),2)*INT(Bang_Tra_Cuu!$L$6/8),2)*8</f>
        <v/>
      </c>
      <c r="M7" s="17">
        <f>MOD(MOD(M$5,2)*INT(Bang_Tra_Cuu!$I$6/1)+MOD(INT(M$5/2),2)*INT(Bang_Tra_Cuu!$J$6/1)+MOD(INT(M$5/4),2)*INT(Bang_Tra_Cuu!$K$6/1)+MOD(INT(M$5/8),2)*INT(Bang_Tra_Cuu!$L$6/1),2)*1+MOD(MOD(M$5,2)*INT(Bang_Tra_Cuu!$I$6/2)+MOD(INT(M$5/2),2)*INT(Bang_Tra_Cuu!$J$6/2)+MOD(INT(M$5/4),2)*INT(Bang_Tra_Cuu!$K$6/2)+MOD(INT(M$5/8),2)*INT(Bang_Tra_Cuu!$L$6/2),2)*2+MOD(MOD(M$5,2)*INT(Bang_Tra_Cuu!$I$6/4)+MOD(INT(M$5/2),2)*INT(Bang_Tra_Cuu!$J$6/4)+MOD(INT(M$5/4),2)*INT(Bang_Tra_Cuu!$K$6/4)+MOD(INT(M$5/8),2)*INT(Bang_Tra_Cuu!$L$6/4),2)*4+MOD(MOD(M$5,2)*INT(Bang_Tra_Cuu!$I$6/8)+MOD(INT(M$5/2),2)*INT(Bang_Tra_Cuu!$J$6/8)+MOD(INT(M$5/4),2)*INT(Bang_Tra_Cuu!$K$6/8)+MOD(INT(M$5/8),2)*INT(Bang_Tra_Cuu!$L$6/8),2)*8</f>
        <v/>
      </c>
      <c r="N7" s="14">
        <f>MOD(MOD(N$5,2)*INT(Bang_Tra_Cuu!$I$6/1)+MOD(INT(N$5/2),2)*INT(Bang_Tra_Cuu!$J$6/1)+MOD(INT(N$5/4),2)*INT(Bang_Tra_Cuu!$K$6/1)+MOD(INT(N$5/8),2)*INT(Bang_Tra_Cuu!$L$6/1),2)*1+MOD(MOD(N$5,2)*INT(Bang_Tra_Cuu!$I$6/2)+MOD(INT(N$5/2),2)*INT(Bang_Tra_Cuu!$J$6/2)+MOD(INT(N$5/4),2)*INT(Bang_Tra_Cuu!$K$6/2)+MOD(INT(N$5/8),2)*INT(Bang_Tra_Cuu!$L$6/2),2)*2+MOD(MOD(N$5,2)*INT(Bang_Tra_Cuu!$I$6/4)+MOD(INT(N$5/2),2)*INT(Bang_Tra_Cuu!$J$6/4)+MOD(INT(N$5/4),2)*INT(Bang_Tra_Cuu!$K$6/4)+MOD(INT(N$5/8),2)*INT(Bang_Tra_Cuu!$L$6/4),2)*4+MOD(MOD(N$5,2)*INT(Bang_Tra_Cuu!$I$6/8)+MOD(INT(N$5/2),2)*INT(Bang_Tra_Cuu!$J$6/8)+MOD(INT(N$5/4),2)*INT(Bang_Tra_Cuu!$K$6/8)+MOD(INT(N$5/8),2)*INT(Bang_Tra_Cuu!$L$6/8),2)*8</f>
        <v/>
      </c>
      <c r="O7" s="17">
        <f>MOD(MOD(O$5,2)*INT(Bang_Tra_Cuu!$I$6/1)+MOD(INT(O$5/2),2)*INT(Bang_Tra_Cuu!$J$6/1)+MOD(INT(O$5/4),2)*INT(Bang_Tra_Cuu!$K$6/1)+MOD(INT(O$5/8),2)*INT(Bang_Tra_Cuu!$L$6/1),2)*1+MOD(MOD(O$5,2)*INT(Bang_Tra_Cuu!$I$6/2)+MOD(INT(O$5/2),2)*INT(Bang_Tra_Cuu!$J$6/2)+MOD(INT(O$5/4),2)*INT(Bang_Tra_Cuu!$K$6/2)+MOD(INT(O$5/8),2)*INT(Bang_Tra_Cuu!$L$6/2),2)*2+MOD(MOD(O$5,2)*INT(Bang_Tra_Cuu!$I$6/4)+MOD(INT(O$5/2),2)*INT(Bang_Tra_Cuu!$J$6/4)+MOD(INT(O$5/4),2)*INT(Bang_Tra_Cuu!$K$6/4)+MOD(INT(O$5/8),2)*INT(Bang_Tra_Cuu!$L$6/4),2)*4+MOD(MOD(O$5,2)*INT(Bang_Tra_Cuu!$I$6/8)+MOD(INT(O$5/2),2)*INT(Bang_Tra_Cuu!$J$6/8)+MOD(INT(O$5/4),2)*INT(Bang_Tra_Cuu!$K$6/8)+MOD(INT(O$5/8),2)*INT(Bang_Tra_Cuu!$L$6/8),2)*8</f>
        <v/>
      </c>
      <c r="P7" s="14">
        <f>MOD(MOD(P$5,2)*INT(Bang_Tra_Cuu!$I$6/1)+MOD(INT(P$5/2),2)*INT(Bang_Tra_Cuu!$J$6/1)+MOD(INT(P$5/4),2)*INT(Bang_Tra_Cuu!$K$6/1)+MOD(INT(P$5/8),2)*INT(Bang_Tra_Cuu!$L$6/1),2)*1+MOD(MOD(P$5,2)*INT(Bang_Tra_Cuu!$I$6/2)+MOD(INT(P$5/2),2)*INT(Bang_Tra_Cuu!$J$6/2)+MOD(INT(P$5/4),2)*INT(Bang_Tra_Cuu!$K$6/2)+MOD(INT(P$5/8),2)*INT(Bang_Tra_Cuu!$L$6/2),2)*2+MOD(MOD(P$5,2)*INT(Bang_Tra_Cuu!$I$6/4)+MOD(INT(P$5/2),2)*INT(Bang_Tra_Cuu!$J$6/4)+MOD(INT(P$5/4),2)*INT(Bang_Tra_Cuu!$K$6/4)+MOD(INT(P$5/8),2)*INT(Bang_Tra_Cuu!$L$6/4),2)*4+MOD(MOD(P$5,2)*INT(Bang_Tra_Cuu!$I$6/8)+MOD(INT(P$5/2),2)*INT(Bang_Tra_Cuu!$J$6/8)+MOD(INT(P$5/4),2)*INT(Bang_Tra_Cuu!$K$6/8)+MOD(INT(P$5/8),2)*INT(Bang_Tra_Cuu!$L$6/8),2)*8</f>
        <v/>
      </c>
      <c r="Q7" s="17">
        <f>MOD(MOD(Q$5,2)*INT(Bang_Tra_Cuu!$I$6/1)+MOD(INT(Q$5/2),2)*INT(Bang_Tra_Cuu!$J$6/1)+MOD(INT(Q$5/4),2)*INT(Bang_Tra_Cuu!$K$6/1)+MOD(INT(Q$5/8),2)*INT(Bang_Tra_Cuu!$L$6/1),2)*1+MOD(MOD(Q$5,2)*INT(Bang_Tra_Cuu!$I$6/2)+MOD(INT(Q$5/2),2)*INT(Bang_Tra_Cuu!$J$6/2)+MOD(INT(Q$5/4),2)*INT(Bang_Tra_Cuu!$K$6/2)+MOD(INT(Q$5/8),2)*INT(Bang_Tra_Cuu!$L$6/2),2)*2+MOD(MOD(Q$5,2)*INT(Bang_Tra_Cuu!$I$6/4)+MOD(INT(Q$5/2),2)*INT(Bang_Tra_Cuu!$J$6/4)+MOD(INT(Q$5/4),2)*INT(Bang_Tra_Cuu!$K$6/4)+MOD(INT(Q$5/8),2)*INT(Bang_Tra_Cuu!$L$6/4),2)*4+MOD(MOD(Q$5,2)*INT(Bang_Tra_Cuu!$I$6/8)+MOD(INT(Q$5/2),2)*INT(Bang_Tra_Cuu!$J$6/8)+MOD(INT(Q$5/4),2)*INT(Bang_Tra_Cuu!$K$6/8)+MOD(INT(Q$5/8),2)*INT(Bang_Tra_Cuu!$L$6/8),2)*8</f>
        <v/>
      </c>
      <c r="R7" s="14">
        <f>MOD(MOD(R$5,2)*INT(Bang_Tra_Cuu!$I$6/1)+MOD(INT(R$5/2),2)*INT(Bang_Tra_Cuu!$J$6/1)+MOD(INT(R$5/4),2)*INT(Bang_Tra_Cuu!$K$6/1)+MOD(INT(R$5/8),2)*INT(Bang_Tra_Cuu!$L$6/1),2)*1+MOD(MOD(R$5,2)*INT(Bang_Tra_Cuu!$I$6/2)+MOD(INT(R$5/2),2)*INT(Bang_Tra_Cuu!$J$6/2)+MOD(INT(R$5/4),2)*INT(Bang_Tra_Cuu!$K$6/2)+MOD(INT(R$5/8),2)*INT(Bang_Tra_Cuu!$L$6/2),2)*2+MOD(MOD(R$5,2)*INT(Bang_Tra_Cuu!$I$6/4)+MOD(INT(R$5/2),2)*INT(Bang_Tra_Cuu!$J$6/4)+MOD(INT(R$5/4),2)*INT(Bang_Tra_Cuu!$K$6/4)+MOD(INT(R$5/8),2)*INT(Bang_Tra_Cuu!$L$6/4),2)*4+MOD(MOD(R$5,2)*INT(Bang_Tra_Cuu!$I$6/8)+MOD(INT(R$5/2),2)*INT(Bang_Tra_Cuu!$J$6/8)+MOD(INT(R$5/4),2)*INT(Bang_Tra_Cuu!$K$6/8)+MOD(INT(R$5/8),2)*INT(Bang_Tra_Cuu!$L$6/8),2)*8</f>
        <v/>
      </c>
      <c r="T7" s="17" t="n">
        <v>1</v>
      </c>
      <c r="U7" s="19" t="inlineStr">
        <is>
          <t>1</t>
        </is>
      </c>
      <c r="V7" s="17">
        <f>COUNTIF($C$6:$R$21, T7)</f>
        <v/>
      </c>
      <c r="W7" s="17">
        <f>COUNTIF($D$7:$R$21, T7)</f>
        <v/>
      </c>
    </row>
    <row r="8" ht="20" customHeight="1">
      <c r="A8" s="30" t="n">
        <v>2</v>
      </c>
      <c r="B8" s="31" t="inlineStr">
        <is>
          <t>x</t>
        </is>
      </c>
      <c r="C8" s="14">
        <f>MOD(MOD(C$5,2)*INT(Bang_Tra_Cuu!$I$7/1)+MOD(INT(C$5/2),2)*INT(Bang_Tra_Cuu!$J$7/1)+MOD(INT(C$5/4),2)*INT(Bang_Tra_Cuu!$K$7/1)+MOD(INT(C$5/8),2)*INT(Bang_Tra_Cuu!$L$7/1),2)*1+MOD(MOD(C$5,2)*INT(Bang_Tra_Cuu!$I$7/2)+MOD(INT(C$5/2),2)*INT(Bang_Tra_Cuu!$J$7/2)+MOD(INT(C$5/4),2)*INT(Bang_Tra_Cuu!$K$7/2)+MOD(INT(C$5/8),2)*INT(Bang_Tra_Cuu!$L$7/2),2)*2+MOD(MOD(C$5,2)*INT(Bang_Tra_Cuu!$I$7/4)+MOD(INT(C$5/2),2)*INT(Bang_Tra_Cuu!$J$7/4)+MOD(INT(C$5/4),2)*INT(Bang_Tra_Cuu!$K$7/4)+MOD(INT(C$5/8),2)*INT(Bang_Tra_Cuu!$L$7/4),2)*4+MOD(MOD(C$5,2)*INT(Bang_Tra_Cuu!$I$7/8)+MOD(INT(C$5/2),2)*INT(Bang_Tra_Cuu!$J$7/8)+MOD(INT(C$5/4),2)*INT(Bang_Tra_Cuu!$K$7/8)+MOD(INT(C$5/8),2)*INT(Bang_Tra_Cuu!$L$7/8),2)*8</f>
        <v/>
      </c>
      <c r="D8" s="17">
        <f>MOD(MOD(D$5,2)*INT(Bang_Tra_Cuu!$I$7/1)+MOD(INT(D$5/2),2)*INT(Bang_Tra_Cuu!$J$7/1)+MOD(INT(D$5/4),2)*INT(Bang_Tra_Cuu!$K$7/1)+MOD(INT(D$5/8),2)*INT(Bang_Tra_Cuu!$L$7/1),2)*1+MOD(MOD(D$5,2)*INT(Bang_Tra_Cuu!$I$7/2)+MOD(INT(D$5/2),2)*INT(Bang_Tra_Cuu!$J$7/2)+MOD(INT(D$5/4),2)*INT(Bang_Tra_Cuu!$K$7/2)+MOD(INT(D$5/8),2)*INT(Bang_Tra_Cuu!$L$7/2),2)*2+MOD(MOD(D$5,2)*INT(Bang_Tra_Cuu!$I$7/4)+MOD(INT(D$5/2),2)*INT(Bang_Tra_Cuu!$J$7/4)+MOD(INT(D$5/4),2)*INT(Bang_Tra_Cuu!$K$7/4)+MOD(INT(D$5/8),2)*INT(Bang_Tra_Cuu!$L$7/4),2)*4+MOD(MOD(D$5,2)*INT(Bang_Tra_Cuu!$I$7/8)+MOD(INT(D$5/2),2)*INT(Bang_Tra_Cuu!$J$7/8)+MOD(INT(D$5/4),2)*INT(Bang_Tra_Cuu!$K$7/8)+MOD(INT(D$5/8),2)*INT(Bang_Tra_Cuu!$L$7/8),2)*8</f>
        <v/>
      </c>
      <c r="E8" s="14">
        <f>MOD(MOD(E$5,2)*INT(Bang_Tra_Cuu!$I$7/1)+MOD(INT(E$5/2),2)*INT(Bang_Tra_Cuu!$J$7/1)+MOD(INT(E$5/4),2)*INT(Bang_Tra_Cuu!$K$7/1)+MOD(INT(E$5/8),2)*INT(Bang_Tra_Cuu!$L$7/1),2)*1+MOD(MOD(E$5,2)*INT(Bang_Tra_Cuu!$I$7/2)+MOD(INT(E$5/2),2)*INT(Bang_Tra_Cuu!$J$7/2)+MOD(INT(E$5/4),2)*INT(Bang_Tra_Cuu!$K$7/2)+MOD(INT(E$5/8),2)*INT(Bang_Tra_Cuu!$L$7/2),2)*2+MOD(MOD(E$5,2)*INT(Bang_Tra_Cuu!$I$7/4)+MOD(INT(E$5/2),2)*INT(Bang_Tra_Cuu!$J$7/4)+MOD(INT(E$5/4),2)*INT(Bang_Tra_Cuu!$K$7/4)+MOD(INT(E$5/8),2)*INT(Bang_Tra_Cuu!$L$7/4),2)*4+MOD(MOD(E$5,2)*INT(Bang_Tra_Cuu!$I$7/8)+MOD(INT(E$5/2),2)*INT(Bang_Tra_Cuu!$J$7/8)+MOD(INT(E$5/4),2)*INT(Bang_Tra_Cuu!$K$7/8)+MOD(INT(E$5/8),2)*INT(Bang_Tra_Cuu!$L$7/8),2)*8</f>
        <v/>
      </c>
      <c r="F8" s="17">
        <f>MOD(MOD(F$5,2)*INT(Bang_Tra_Cuu!$I$7/1)+MOD(INT(F$5/2),2)*INT(Bang_Tra_Cuu!$J$7/1)+MOD(INT(F$5/4),2)*INT(Bang_Tra_Cuu!$K$7/1)+MOD(INT(F$5/8),2)*INT(Bang_Tra_Cuu!$L$7/1),2)*1+MOD(MOD(F$5,2)*INT(Bang_Tra_Cuu!$I$7/2)+MOD(INT(F$5/2),2)*INT(Bang_Tra_Cuu!$J$7/2)+MOD(INT(F$5/4),2)*INT(Bang_Tra_Cuu!$K$7/2)+MOD(INT(F$5/8),2)*INT(Bang_Tra_Cuu!$L$7/2),2)*2+MOD(MOD(F$5,2)*INT(Bang_Tra_Cuu!$I$7/4)+MOD(INT(F$5/2),2)*INT(Bang_Tra_Cuu!$J$7/4)+MOD(INT(F$5/4),2)*INT(Bang_Tra_Cuu!$K$7/4)+MOD(INT(F$5/8),2)*INT(Bang_Tra_Cuu!$L$7/4),2)*4+MOD(MOD(F$5,2)*INT(Bang_Tra_Cuu!$I$7/8)+MOD(INT(F$5/2),2)*INT(Bang_Tra_Cuu!$J$7/8)+MOD(INT(F$5/4),2)*INT(Bang_Tra_Cuu!$K$7/8)+MOD(INT(F$5/8),2)*INT(Bang_Tra_Cuu!$L$7/8),2)*8</f>
        <v/>
      </c>
      <c r="G8" s="14">
        <f>MOD(MOD(G$5,2)*INT(Bang_Tra_Cuu!$I$7/1)+MOD(INT(G$5/2),2)*INT(Bang_Tra_Cuu!$J$7/1)+MOD(INT(G$5/4),2)*INT(Bang_Tra_Cuu!$K$7/1)+MOD(INT(G$5/8),2)*INT(Bang_Tra_Cuu!$L$7/1),2)*1+MOD(MOD(G$5,2)*INT(Bang_Tra_Cuu!$I$7/2)+MOD(INT(G$5/2),2)*INT(Bang_Tra_Cuu!$J$7/2)+MOD(INT(G$5/4),2)*INT(Bang_Tra_Cuu!$K$7/2)+MOD(INT(G$5/8),2)*INT(Bang_Tra_Cuu!$L$7/2),2)*2+MOD(MOD(G$5,2)*INT(Bang_Tra_Cuu!$I$7/4)+MOD(INT(G$5/2),2)*INT(Bang_Tra_Cuu!$J$7/4)+MOD(INT(G$5/4),2)*INT(Bang_Tra_Cuu!$K$7/4)+MOD(INT(G$5/8),2)*INT(Bang_Tra_Cuu!$L$7/4),2)*4+MOD(MOD(G$5,2)*INT(Bang_Tra_Cuu!$I$7/8)+MOD(INT(G$5/2),2)*INT(Bang_Tra_Cuu!$J$7/8)+MOD(INT(G$5/4),2)*INT(Bang_Tra_Cuu!$K$7/8)+MOD(INT(G$5/8),2)*INT(Bang_Tra_Cuu!$L$7/8),2)*8</f>
        <v/>
      </c>
      <c r="H8" s="17">
        <f>MOD(MOD(H$5,2)*INT(Bang_Tra_Cuu!$I$7/1)+MOD(INT(H$5/2),2)*INT(Bang_Tra_Cuu!$J$7/1)+MOD(INT(H$5/4),2)*INT(Bang_Tra_Cuu!$K$7/1)+MOD(INT(H$5/8),2)*INT(Bang_Tra_Cuu!$L$7/1),2)*1+MOD(MOD(H$5,2)*INT(Bang_Tra_Cuu!$I$7/2)+MOD(INT(H$5/2),2)*INT(Bang_Tra_Cuu!$J$7/2)+MOD(INT(H$5/4),2)*INT(Bang_Tra_Cuu!$K$7/2)+MOD(INT(H$5/8),2)*INT(Bang_Tra_Cuu!$L$7/2),2)*2+MOD(MOD(H$5,2)*INT(Bang_Tra_Cuu!$I$7/4)+MOD(INT(H$5/2),2)*INT(Bang_Tra_Cuu!$J$7/4)+MOD(INT(H$5/4),2)*INT(Bang_Tra_Cuu!$K$7/4)+MOD(INT(H$5/8),2)*INT(Bang_Tra_Cuu!$L$7/4),2)*4+MOD(MOD(H$5,2)*INT(Bang_Tra_Cuu!$I$7/8)+MOD(INT(H$5/2),2)*INT(Bang_Tra_Cuu!$J$7/8)+MOD(INT(H$5/4),2)*INT(Bang_Tra_Cuu!$K$7/8)+MOD(INT(H$5/8),2)*INT(Bang_Tra_Cuu!$L$7/8),2)*8</f>
        <v/>
      </c>
      <c r="I8" s="14">
        <f>MOD(MOD(I$5,2)*INT(Bang_Tra_Cuu!$I$7/1)+MOD(INT(I$5/2),2)*INT(Bang_Tra_Cuu!$J$7/1)+MOD(INT(I$5/4),2)*INT(Bang_Tra_Cuu!$K$7/1)+MOD(INT(I$5/8),2)*INT(Bang_Tra_Cuu!$L$7/1),2)*1+MOD(MOD(I$5,2)*INT(Bang_Tra_Cuu!$I$7/2)+MOD(INT(I$5/2),2)*INT(Bang_Tra_Cuu!$J$7/2)+MOD(INT(I$5/4),2)*INT(Bang_Tra_Cuu!$K$7/2)+MOD(INT(I$5/8),2)*INT(Bang_Tra_Cuu!$L$7/2),2)*2+MOD(MOD(I$5,2)*INT(Bang_Tra_Cuu!$I$7/4)+MOD(INT(I$5/2),2)*INT(Bang_Tra_Cuu!$J$7/4)+MOD(INT(I$5/4),2)*INT(Bang_Tra_Cuu!$K$7/4)+MOD(INT(I$5/8),2)*INT(Bang_Tra_Cuu!$L$7/4),2)*4+MOD(MOD(I$5,2)*INT(Bang_Tra_Cuu!$I$7/8)+MOD(INT(I$5/2),2)*INT(Bang_Tra_Cuu!$J$7/8)+MOD(INT(I$5/4),2)*INT(Bang_Tra_Cuu!$K$7/8)+MOD(INT(I$5/8),2)*INT(Bang_Tra_Cuu!$L$7/8),2)*8</f>
        <v/>
      </c>
      <c r="J8" s="17">
        <f>MOD(MOD(J$5,2)*INT(Bang_Tra_Cuu!$I$7/1)+MOD(INT(J$5/2),2)*INT(Bang_Tra_Cuu!$J$7/1)+MOD(INT(J$5/4),2)*INT(Bang_Tra_Cuu!$K$7/1)+MOD(INT(J$5/8),2)*INT(Bang_Tra_Cuu!$L$7/1),2)*1+MOD(MOD(J$5,2)*INT(Bang_Tra_Cuu!$I$7/2)+MOD(INT(J$5/2),2)*INT(Bang_Tra_Cuu!$J$7/2)+MOD(INT(J$5/4),2)*INT(Bang_Tra_Cuu!$K$7/2)+MOD(INT(J$5/8),2)*INT(Bang_Tra_Cuu!$L$7/2),2)*2+MOD(MOD(J$5,2)*INT(Bang_Tra_Cuu!$I$7/4)+MOD(INT(J$5/2),2)*INT(Bang_Tra_Cuu!$J$7/4)+MOD(INT(J$5/4),2)*INT(Bang_Tra_Cuu!$K$7/4)+MOD(INT(J$5/8),2)*INT(Bang_Tra_Cuu!$L$7/4),2)*4+MOD(MOD(J$5,2)*INT(Bang_Tra_Cuu!$I$7/8)+MOD(INT(J$5/2),2)*INT(Bang_Tra_Cuu!$J$7/8)+MOD(INT(J$5/4),2)*INT(Bang_Tra_Cuu!$K$7/8)+MOD(INT(J$5/8),2)*INT(Bang_Tra_Cuu!$L$7/8),2)*8</f>
        <v/>
      </c>
      <c r="K8" s="14">
        <f>MOD(MOD(K$5,2)*INT(Bang_Tra_Cuu!$I$7/1)+MOD(INT(K$5/2),2)*INT(Bang_Tra_Cuu!$J$7/1)+MOD(INT(K$5/4),2)*INT(Bang_Tra_Cuu!$K$7/1)+MOD(INT(K$5/8),2)*INT(Bang_Tra_Cuu!$L$7/1),2)*1+MOD(MOD(K$5,2)*INT(Bang_Tra_Cuu!$I$7/2)+MOD(INT(K$5/2),2)*INT(Bang_Tra_Cuu!$J$7/2)+MOD(INT(K$5/4),2)*INT(Bang_Tra_Cuu!$K$7/2)+MOD(INT(K$5/8),2)*INT(Bang_Tra_Cuu!$L$7/2),2)*2+MOD(MOD(K$5,2)*INT(Bang_Tra_Cuu!$I$7/4)+MOD(INT(K$5/2),2)*INT(Bang_Tra_Cuu!$J$7/4)+MOD(INT(K$5/4),2)*INT(Bang_Tra_Cuu!$K$7/4)+MOD(INT(K$5/8),2)*INT(Bang_Tra_Cuu!$L$7/4),2)*4+MOD(MOD(K$5,2)*INT(Bang_Tra_Cuu!$I$7/8)+MOD(INT(K$5/2),2)*INT(Bang_Tra_Cuu!$J$7/8)+MOD(INT(K$5/4),2)*INT(Bang_Tra_Cuu!$K$7/8)+MOD(INT(K$5/8),2)*INT(Bang_Tra_Cuu!$L$7/8),2)*8</f>
        <v/>
      </c>
      <c r="L8" s="17">
        <f>MOD(MOD(L$5,2)*INT(Bang_Tra_Cuu!$I$7/1)+MOD(INT(L$5/2),2)*INT(Bang_Tra_Cuu!$J$7/1)+MOD(INT(L$5/4),2)*INT(Bang_Tra_Cuu!$K$7/1)+MOD(INT(L$5/8),2)*INT(Bang_Tra_Cuu!$L$7/1),2)*1+MOD(MOD(L$5,2)*INT(Bang_Tra_Cuu!$I$7/2)+MOD(INT(L$5/2),2)*INT(Bang_Tra_Cuu!$J$7/2)+MOD(INT(L$5/4),2)*INT(Bang_Tra_Cuu!$K$7/2)+MOD(INT(L$5/8),2)*INT(Bang_Tra_Cuu!$L$7/2),2)*2+MOD(MOD(L$5,2)*INT(Bang_Tra_Cuu!$I$7/4)+MOD(INT(L$5/2),2)*INT(Bang_Tra_Cuu!$J$7/4)+MOD(INT(L$5/4),2)*INT(Bang_Tra_Cuu!$K$7/4)+MOD(INT(L$5/8),2)*INT(Bang_Tra_Cuu!$L$7/4),2)*4+MOD(MOD(L$5,2)*INT(Bang_Tra_Cuu!$I$7/8)+MOD(INT(L$5/2),2)*INT(Bang_Tra_Cuu!$J$7/8)+MOD(INT(L$5/4),2)*INT(Bang_Tra_Cuu!$K$7/8)+MOD(INT(L$5/8),2)*INT(Bang_Tra_Cuu!$L$7/8),2)*8</f>
        <v/>
      </c>
      <c r="M8" s="14">
        <f>MOD(MOD(M$5,2)*INT(Bang_Tra_Cuu!$I$7/1)+MOD(INT(M$5/2),2)*INT(Bang_Tra_Cuu!$J$7/1)+MOD(INT(M$5/4),2)*INT(Bang_Tra_Cuu!$K$7/1)+MOD(INT(M$5/8),2)*INT(Bang_Tra_Cuu!$L$7/1),2)*1+MOD(MOD(M$5,2)*INT(Bang_Tra_Cuu!$I$7/2)+MOD(INT(M$5/2),2)*INT(Bang_Tra_Cuu!$J$7/2)+MOD(INT(M$5/4),2)*INT(Bang_Tra_Cuu!$K$7/2)+MOD(INT(M$5/8),2)*INT(Bang_Tra_Cuu!$L$7/2),2)*2+MOD(MOD(M$5,2)*INT(Bang_Tra_Cuu!$I$7/4)+MOD(INT(M$5/2),2)*INT(Bang_Tra_Cuu!$J$7/4)+MOD(INT(M$5/4),2)*INT(Bang_Tra_Cuu!$K$7/4)+MOD(INT(M$5/8),2)*INT(Bang_Tra_Cuu!$L$7/4),2)*4+MOD(MOD(M$5,2)*INT(Bang_Tra_Cuu!$I$7/8)+MOD(INT(M$5/2),2)*INT(Bang_Tra_Cuu!$J$7/8)+MOD(INT(M$5/4),2)*INT(Bang_Tra_Cuu!$K$7/8)+MOD(INT(M$5/8),2)*INT(Bang_Tra_Cuu!$L$7/8),2)*8</f>
        <v/>
      </c>
      <c r="N8" s="17">
        <f>MOD(MOD(N$5,2)*INT(Bang_Tra_Cuu!$I$7/1)+MOD(INT(N$5/2),2)*INT(Bang_Tra_Cuu!$J$7/1)+MOD(INT(N$5/4),2)*INT(Bang_Tra_Cuu!$K$7/1)+MOD(INT(N$5/8),2)*INT(Bang_Tra_Cuu!$L$7/1),2)*1+MOD(MOD(N$5,2)*INT(Bang_Tra_Cuu!$I$7/2)+MOD(INT(N$5/2),2)*INT(Bang_Tra_Cuu!$J$7/2)+MOD(INT(N$5/4),2)*INT(Bang_Tra_Cuu!$K$7/2)+MOD(INT(N$5/8),2)*INT(Bang_Tra_Cuu!$L$7/2),2)*2+MOD(MOD(N$5,2)*INT(Bang_Tra_Cuu!$I$7/4)+MOD(INT(N$5/2),2)*INT(Bang_Tra_Cuu!$J$7/4)+MOD(INT(N$5/4),2)*INT(Bang_Tra_Cuu!$K$7/4)+MOD(INT(N$5/8),2)*INT(Bang_Tra_Cuu!$L$7/4),2)*4+MOD(MOD(N$5,2)*INT(Bang_Tra_Cuu!$I$7/8)+MOD(INT(N$5/2),2)*INT(Bang_Tra_Cuu!$J$7/8)+MOD(INT(N$5/4),2)*INT(Bang_Tra_Cuu!$K$7/8)+MOD(INT(N$5/8),2)*INT(Bang_Tra_Cuu!$L$7/8),2)*8</f>
        <v/>
      </c>
      <c r="O8" s="14">
        <f>MOD(MOD(O$5,2)*INT(Bang_Tra_Cuu!$I$7/1)+MOD(INT(O$5/2),2)*INT(Bang_Tra_Cuu!$J$7/1)+MOD(INT(O$5/4),2)*INT(Bang_Tra_Cuu!$K$7/1)+MOD(INT(O$5/8),2)*INT(Bang_Tra_Cuu!$L$7/1),2)*1+MOD(MOD(O$5,2)*INT(Bang_Tra_Cuu!$I$7/2)+MOD(INT(O$5/2),2)*INT(Bang_Tra_Cuu!$J$7/2)+MOD(INT(O$5/4),2)*INT(Bang_Tra_Cuu!$K$7/2)+MOD(INT(O$5/8),2)*INT(Bang_Tra_Cuu!$L$7/2),2)*2+MOD(MOD(O$5,2)*INT(Bang_Tra_Cuu!$I$7/4)+MOD(INT(O$5/2),2)*INT(Bang_Tra_Cuu!$J$7/4)+MOD(INT(O$5/4),2)*INT(Bang_Tra_Cuu!$K$7/4)+MOD(INT(O$5/8),2)*INT(Bang_Tra_Cuu!$L$7/4),2)*4+MOD(MOD(O$5,2)*INT(Bang_Tra_Cuu!$I$7/8)+MOD(INT(O$5/2),2)*INT(Bang_Tra_Cuu!$J$7/8)+MOD(INT(O$5/4),2)*INT(Bang_Tra_Cuu!$K$7/8)+MOD(INT(O$5/8),2)*INT(Bang_Tra_Cuu!$L$7/8),2)*8</f>
        <v/>
      </c>
      <c r="P8" s="17">
        <f>MOD(MOD(P$5,2)*INT(Bang_Tra_Cuu!$I$7/1)+MOD(INT(P$5/2),2)*INT(Bang_Tra_Cuu!$J$7/1)+MOD(INT(P$5/4),2)*INT(Bang_Tra_Cuu!$K$7/1)+MOD(INT(P$5/8),2)*INT(Bang_Tra_Cuu!$L$7/1),2)*1+MOD(MOD(P$5,2)*INT(Bang_Tra_Cuu!$I$7/2)+MOD(INT(P$5/2),2)*INT(Bang_Tra_Cuu!$J$7/2)+MOD(INT(P$5/4),2)*INT(Bang_Tra_Cuu!$K$7/2)+MOD(INT(P$5/8),2)*INT(Bang_Tra_Cuu!$L$7/2),2)*2+MOD(MOD(P$5,2)*INT(Bang_Tra_Cuu!$I$7/4)+MOD(INT(P$5/2),2)*INT(Bang_Tra_Cuu!$J$7/4)+MOD(INT(P$5/4),2)*INT(Bang_Tra_Cuu!$K$7/4)+MOD(INT(P$5/8),2)*INT(Bang_Tra_Cuu!$L$7/4),2)*4+MOD(MOD(P$5,2)*INT(Bang_Tra_Cuu!$I$7/8)+MOD(INT(P$5/2),2)*INT(Bang_Tra_Cuu!$J$7/8)+MOD(INT(P$5/4),2)*INT(Bang_Tra_Cuu!$K$7/8)+MOD(INT(P$5/8),2)*INT(Bang_Tra_Cuu!$L$7/8),2)*8</f>
        <v/>
      </c>
      <c r="Q8" s="14">
        <f>MOD(MOD(Q$5,2)*INT(Bang_Tra_Cuu!$I$7/1)+MOD(INT(Q$5/2),2)*INT(Bang_Tra_Cuu!$J$7/1)+MOD(INT(Q$5/4),2)*INT(Bang_Tra_Cuu!$K$7/1)+MOD(INT(Q$5/8),2)*INT(Bang_Tra_Cuu!$L$7/1),2)*1+MOD(MOD(Q$5,2)*INT(Bang_Tra_Cuu!$I$7/2)+MOD(INT(Q$5/2),2)*INT(Bang_Tra_Cuu!$J$7/2)+MOD(INT(Q$5/4),2)*INT(Bang_Tra_Cuu!$K$7/2)+MOD(INT(Q$5/8),2)*INT(Bang_Tra_Cuu!$L$7/2),2)*2+MOD(MOD(Q$5,2)*INT(Bang_Tra_Cuu!$I$7/4)+MOD(INT(Q$5/2),2)*INT(Bang_Tra_Cuu!$J$7/4)+MOD(INT(Q$5/4),2)*INT(Bang_Tra_Cuu!$K$7/4)+MOD(INT(Q$5/8),2)*INT(Bang_Tra_Cuu!$L$7/4),2)*4+MOD(MOD(Q$5,2)*INT(Bang_Tra_Cuu!$I$7/8)+MOD(INT(Q$5/2),2)*INT(Bang_Tra_Cuu!$J$7/8)+MOD(INT(Q$5/4),2)*INT(Bang_Tra_Cuu!$K$7/8)+MOD(INT(Q$5/8),2)*INT(Bang_Tra_Cuu!$L$7/8),2)*8</f>
        <v/>
      </c>
      <c r="R8" s="17">
        <f>MOD(MOD(R$5,2)*INT(Bang_Tra_Cuu!$I$7/1)+MOD(INT(R$5/2),2)*INT(Bang_Tra_Cuu!$J$7/1)+MOD(INT(R$5/4),2)*INT(Bang_Tra_Cuu!$K$7/1)+MOD(INT(R$5/8),2)*INT(Bang_Tra_Cuu!$L$7/1),2)*1+MOD(MOD(R$5,2)*INT(Bang_Tra_Cuu!$I$7/2)+MOD(INT(R$5/2),2)*INT(Bang_Tra_Cuu!$J$7/2)+MOD(INT(R$5/4),2)*INT(Bang_Tra_Cuu!$K$7/2)+MOD(INT(R$5/8),2)*INT(Bang_Tra_Cuu!$L$7/2),2)*2+MOD(MOD(R$5,2)*INT(Bang_Tra_Cuu!$I$7/4)+MOD(INT(R$5/2),2)*INT(Bang_Tra_Cuu!$J$7/4)+MOD(INT(R$5/4),2)*INT(Bang_Tra_Cuu!$K$7/4)+MOD(INT(R$5/8),2)*INT(Bang_Tra_Cuu!$L$7/4),2)*4+MOD(MOD(R$5,2)*INT(Bang_Tra_Cuu!$I$7/8)+MOD(INT(R$5/2),2)*INT(Bang_Tra_Cuu!$J$7/8)+MOD(INT(R$5/4),2)*INT(Bang_Tra_Cuu!$K$7/8)+MOD(INT(R$5/8),2)*INT(Bang_Tra_Cuu!$L$7/8),2)*8</f>
        <v/>
      </c>
      <c r="T8" s="14" t="n">
        <v>2</v>
      </c>
      <c r="U8" s="6" t="inlineStr">
        <is>
          <t>x</t>
        </is>
      </c>
      <c r="V8" s="14">
        <f>COUNTIF($C$6:$R$21, T8)</f>
        <v/>
      </c>
      <c r="W8" s="14">
        <f>COUNTIF($D$7:$R$21, T8)</f>
        <v/>
      </c>
    </row>
    <row r="9" ht="20" customHeight="1">
      <c r="A9" s="30" t="n">
        <v>3</v>
      </c>
      <c r="B9" s="31" t="inlineStr">
        <is>
          <t>x + 1</t>
        </is>
      </c>
      <c r="C9" s="17">
        <f>MOD(MOD(C$5,2)*INT(Bang_Tra_Cuu!$I$8/1)+MOD(INT(C$5/2),2)*INT(Bang_Tra_Cuu!$J$8/1)+MOD(INT(C$5/4),2)*INT(Bang_Tra_Cuu!$K$8/1)+MOD(INT(C$5/8),2)*INT(Bang_Tra_Cuu!$L$8/1),2)*1+MOD(MOD(C$5,2)*INT(Bang_Tra_Cuu!$I$8/2)+MOD(INT(C$5/2),2)*INT(Bang_Tra_Cuu!$J$8/2)+MOD(INT(C$5/4),2)*INT(Bang_Tra_Cuu!$K$8/2)+MOD(INT(C$5/8),2)*INT(Bang_Tra_Cuu!$L$8/2),2)*2+MOD(MOD(C$5,2)*INT(Bang_Tra_Cuu!$I$8/4)+MOD(INT(C$5/2),2)*INT(Bang_Tra_Cuu!$J$8/4)+MOD(INT(C$5/4),2)*INT(Bang_Tra_Cuu!$K$8/4)+MOD(INT(C$5/8),2)*INT(Bang_Tra_Cuu!$L$8/4),2)*4+MOD(MOD(C$5,2)*INT(Bang_Tra_Cuu!$I$8/8)+MOD(INT(C$5/2),2)*INT(Bang_Tra_Cuu!$J$8/8)+MOD(INT(C$5/4),2)*INT(Bang_Tra_Cuu!$K$8/8)+MOD(INT(C$5/8),2)*INT(Bang_Tra_Cuu!$L$8/8),2)*8</f>
        <v/>
      </c>
      <c r="D9" s="14">
        <f>MOD(MOD(D$5,2)*INT(Bang_Tra_Cuu!$I$8/1)+MOD(INT(D$5/2),2)*INT(Bang_Tra_Cuu!$J$8/1)+MOD(INT(D$5/4),2)*INT(Bang_Tra_Cuu!$K$8/1)+MOD(INT(D$5/8),2)*INT(Bang_Tra_Cuu!$L$8/1),2)*1+MOD(MOD(D$5,2)*INT(Bang_Tra_Cuu!$I$8/2)+MOD(INT(D$5/2),2)*INT(Bang_Tra_Cuu!$J$8/2)+MOD(INT(D$5/4),2)*INT(Bang_Tra_Cuu!$K$8/2)+MOD(INT(D$5/8),2)*INT(Bang_Tra_Cuu!$L$8/2),2)*2+MOD(MOD(D$5,2)*INT(Bang_Tra_Cuu!$I$8/4)+MOD(INT(D$5/2),2)*INT(Bang_Tra_Cuu!$J$8/4)+MOD(INT(D$5/4),2)*INT(Bang_Tra_Cuu!$K$8/4)+MOD(INT(D$5/8),2)*INT(Bang_Tra_Cuu!$L$8/4),2)*4+MOD(MOD(D$5,2)*INT(Bang_Tra_Cuu!$I$8/8)+MOD(INT(D$5/2),2)*INT(Bang_Tra_Cuu!$J$8/8)+MOD(INT(D$5/4),2)*INT(Bang_Tra_Cuu!$K$8/8)+MOD(INT(D$5/8),2)*INT(Bang_Tra_Cuu!$L$8/8),2)*8</f>
        <v/>
      </c>
      <c r="E9" s="17">
        <f>MOD(MOD(E$5,2)*INT(Bang_Tra_Cuu!$I$8/1)+MOD(INT(E$5/2),2)*INT(Bang_Tra_Cuu!$J$8/1)+MOD(INT(E$5/4),2)*INT(Bang_Tra_Cuu!$K$8/1)+MOD(INT(E$5/8),2)*INT(Bang_Tra_Cuu!$L$8/1),2)*1+MOD(MOD(E$5,2)*INT(Bang_Tra_Cuu!$I$8/2)+MOD(INT(E$5/2),2)*INT(Bang_Tra_Cuu!$J$8/2)+MOD(INT(E$5/4),2)*INT(Bang_Tra_Cuu!$K$8/2)+MOD(INT(E$5/8),2)*INT(Bang_Tra_Cuu!$L$8/2),2)*2+MOD(MOD(E$5,2)*INT(Bang_Tra_Cuu!$I$8/4)+MOD(INT(E$5/2),2)*INT(Bang_Tra_Cuu!$J$8/4)+MOD(INT(E$5/4),2)*INT(Bang_Tra_Cuu!$K$8/4)+MOD(INT(E$5/8),2)*INT(Bang_Tra_Cuu!$L$8/4),2)*4+MOD(MOD(E$5,2)*INT(Bang_Tra_Cuu!$I$8/8)+MOD(INT(E$5/2),2)*INT(Bang_Tra_Cuu!$J$8/8)+MOD(INT(E$5/4),2)*INT(Bang_Tra_Cuu!$K$8/8)+MOD(INT(E$5/8),2)*INT(Bang_Tra_Cuu!$L$8/8),2)*8</f>
        <v/>
      </c>
      <c r="F9" s="14">
        <f>MOD(MOD(F$5,2)*INT(Bang_Tra_Cuu!$I$8/1)+MOD(INT(F$5/2),2)*INT(Bang_Tra_Cuu!$J$8/1)+MOD(INT(F$5/4),2)*INT(Bang_Tra_Cuu!$K$8/1)+MOD(INT(F$5/8),2)*INT(Bang_Tra_Cuu!$L$8/1),2)*1+MOD(MOD(F$5,2)*INT(Bang_Tra_Cuu!$I$8/2)+MOD(INT(F$5/2),2)*INT(Bang_Tra_Cuu!$J$8/2)+MOD(INT(F$5/4),2)*INT(Bang_Tra_Cuu!$K$8/2)+MOD(INT(F$5/8),2)*INT(Bang_Tra_Cuu!$L$8/2),2)*2+MOD(MOD(F$5,2)*INT(Bang_Tra_Cuu!$I$8/4)+MOD(INT(F$5/2),2)*INT(Bang_Tra_Cuu!$J$8/4)+MOD(INT(F$5/4),2)*INT(Bang_Tra_Cuu!$K$8/4)+MOD(INT(F$5/8),2)*INT(Bang_Tra_Cuu!$L$8/4),2)*4+MOD(MOD(F$5,2)*INT(Bang_Tra_Cuu!$I$8/8)+MOD(INT(F$5/2),2)*INT(Bang_Tra_Cuu!$J$8/8)+MOD(INT(F$5/4),2)*INT(Bang_Tra_Cuu!$K$8/8)+MOD(INT(F$5/8),2)*INT(Bang_Tra_Cuu!$L$8/8),2)*8</f>
        <v/>
      </c>
      <c r="G9" s="17">
        <f>MOD(MOD(G$5,2)*INT(Bang_Tra_Cuu!$I$8/1)+MOD(INT(G$5/2),2)*INT(Bang_Tra_Cuu!$J$8/1)+MOD(INT(G$5/4),2)*INT(Bang_Tra_Cuu!$K$8/1)+MOD(INT(G$5/8),2)*INT(Bang_Tra_Cuu!$L$8/1),2)*1+MOD(MOD(G$5,2)*INT(Bang_Tra_Cuu!$I$8/2)+MOD(INT(G$5/2),2)*INT(Bang_Tra_Cuu!$J$8/2)+MOD(INT(G$5/4),2)*INT(Bang_Tra_Cuu!$K$8/2)+MOD(INT(G$5/8),2)*INT(Bang_Tra_Cuu!$L$8/2),2)*2+MOD(MOD(G$5,2)*INT(Bang_Tra_Cuu!$I$8/4)+MOD(INT(G$5/2),2)*INT(Bang_Tra_Cuu!$J$8/4)+MOD(INT(G$5/4),2)*INT(Bang_Tra_Cuu!$K$8/4)+MOD(INT(G$5/8),2)*INT(Bang_Tra_Cuu!$L$8/4),2)*4+MOD(MOD(G$5,2)*INT(Bang_Tra_Cuu!$I$8/8)+MOD(INT(G$5/2),2)*INT(Bang_Tra_Cuu!$J$8/8)+MOD(INT(G$5/4),2)*INT(Bang_Tra_Cuu!$K$8/8)+MOD(INT(G$5/8),2)*INT(Bang_Tra_Cuu!$L$8/8),2)*8</f>
        <v/>
      </c>
      <c r="H9" s="14">
        <f>MOD(MOD(H$5,2)*INT(Bang_Tra_Cuu!$I$8/1)+MOD(INT(H$5/2),2)*INT(Bang_Tra_Cuu!$J$8/1)+MOD(INT(H$5/4),2)*INT(Bang_Tra_Cuu!$K$8/1)+MOD(INT(H$5/8),2)*INT(Bang_Tra_Cuu!$L$8/1),2)*1+MOD(MOD(H$5,2)*INT(Bang_Tra_Cuu!$I$8/2)+MOD(INT(H$5/2),2)*INT(Bang_Tra_Cuu!$J$8/2)+MOD(INT(H$5/4),2)*INT(Bang_Tra_Cuu!$K$8/2)+MOD(INT(H$5/8),2)*INT(Bang_Tra_Cuu!$L$8/2),2)*2+MOD(MOD(H$5,2)*INT(Bang_Tra_Cuu!$I$8/4)+MOD(INT(H$5/2),2)*INT(Bang_Tra_Cuu!$J$8/4)+MOD(INT(H$5/4),2)*INT(Bang_Tra_Cuu!$K$8/4)+MOD(INT(H$5/8),2)*INT(Bang_Tra_Cuu!$L$8/4),2)*4+MOD(MOD(H$5,2)*INT(Bang_Tra_Cuu!$I$8/8)+MOD(INT(H$5/2),2)*INT(Bang_Tra_Cuu!$J$8/8)+MOD(INT(H$5/4),2)*INT(Bang_Tra_Cuu!$K$8/8)+MOD(INT(H$5/8),2)*INT(Bang_Tra_Cuu!$L$8/8),2)*8</f>
        <v/>
      </c>
      <c r="I9" s="17">
        <f>MOD(MOD(I$5,2)*INT(Bang_Tra_Cuu!$I$8/1)+MOD(INT(I$5/2),2)*INT(Bang_Tra_Cuu!$J$8/1)+MOD(INT(I$5/4),2)*INT(Bang_Tra_Cuu!$K$8/1)+MOD(INT(I$5/8),2)*INT(Bang_Tra_Cuu!$L$8/1),2)*1+MOD(MOD(I$5,2)*INT(Bang_Tra_Cuu!$I$8/2)+MOD(INT(I$5/2),2)*INT(Bang_Tra_Cuu!$J$8/2)+MOD(INT(I$5/4),2)*INT(Bang_Tra_Cuu!$K$8/2)+MOD(INT(I$5/8),2)*INT(Bang_Tra_Cuu!$L$8/2),2)*2+MOD(MOD(I$5,2)*INT(Bang_Tra_Cuu!$I$8/4)+MOD(INT(I$5/2),2)*INT(Bang_Tra_Cuu!$J$8/4)+MOD(INT(I$5/4),2)*INT(Bang_Tra_Cuu!$K$8/4)+MOD(INT(I$5/8),2)*INT(Bang_Tra_Cuu!$L$8/4),2)*4+MOD(MOD(I$5,2)*INT(Bang_Tra_Cuu!$I$8/8)+MOD(INT(I$5/2),2)*INT(Bang_Tra_Cuu!$J$8/8)+MOD(INT(I$5/4),2)*INT(Bang_Tra_Cuu!$K$8/8)+MOD(INT(I$5/8),2)*INT(Bang_Tra_Cuu!$L$8/8),2)*8</f>
        <v/>
      </c>
      <c r="J9" s="14">
        <f>MOD(MOD(J$5,2)*INT(Bang_Tra_Cuu!$I$8/1)+MOD(INT(J$5/2),2)*INT(Bang_Tra_Cuu!$J$8/1)+MOD(INT(J$5/4),2)*INT(Bang_Tra_Cuu!$K$8/1)+MOD(INT(J$5/8),2)*INT(Bang_Tra_Cuu!$L$8/1),2)*1+MOD(MOD(J$5,2)*INT(Bang_Tra_Cuu!$I$8/2)+MOD(INT(J$5/2),2)*INT(Bang_Tra_Cuu!$J$8/2)+MOD(INT(J$5/4),2)*INT(Bang_Tra_Cuu!$K$8/2)+MOD(INT(J$5/8),2)*INT(Bang_Tra_Cuu!$L$8/2),2)*2+MOD(MOD(J$5,2)*INT(Bang_Tra_Cuu!$I$8/4)+MOD(INT(J$5/2),2)*INT(Bang_Tra_Cuu!$J$8/4)+MOD(INT(J$5/4),2)*INT(Bang_Tra_Cuu!$K$8/4)+MOD(INT(J$5/8),2)*INT(Bang_Tra_Cuu!$L$8/4),2)*4+MOD(MOD(J$5,2)*INT(Bang_Tra_Cuu!$I$8/8)+MOD(INT(J$5/2),2)*INT(Bang_Tra_Cuu!$J$8/8)+MOD(INT(J$5/4),2)*INT(Bang_Tra_Cuu!$K$8/8)+MOD(INT(J$5/8),2)*INT(Bang_Tra_Cuu!$L$8/8),2)*8</f>
        <v/>
      </c>
      <c r="K9" s="17">
        <f>MOD(MOD(K$5,2)*INT(Bang_Tra_Cuu!$I$8/1)+MOD(INT(K$5/2),2)*INT(Bang_Tra_Cuu!$J$8/1)+MOD(INT(K$5/4),2)*INT(Bang_Tra_Cuu!$K$8/1)+MOD(INT(K$5/8),2)*INT(Bang_Tra_Cuu!$L$8/1),2)*1+MOD(MOD(K$5,2)*INT(Bang_Tra_Cuu!$I$8/2)+MOD(INT(K$5/2),2)*INT(Bang_Tra_Cuu!$J$8/2)+MOD(INT(K$5/4),2)*INT(Bang_Tra_Cuu!$K$8/2)+MOD(INT(K$5/8),2)*INT(Bang_Tra_Cuu!$L$8/2),2)*2+MOD(MOD(K$5,2)*INT(Bang_Tra_Cuu!$I$8/4)+MOD(INT(K$5/2),2)*INT(Bang_Tra_Cuu!$J$8/4)+MOD(INT(K$5/4),2)*INT(Bang_Tra_Cuu!$K$8/4)+MOD(INT(K$5/8),2)*INT(Bang_Tra_Cuu!$L$8/4),2)*4+MOD(MOD(K$5,2)*INT(Bang_Tra_Cuu!$I$8/8)+MOD(INT(K$5/2),2)*INT(Bang_Tra_Cuu!$J$8/8)+MOD(INT(K$5/4),2)*INT(Bang_Tra_Cuu!$K$8/8)+MOD(INT(K$5/8),2)*INT(Bang_Tra_Cuu!$L$8/8),2)*8</f>
        <v/>
      </c>
      <c r="L9" s="14">
        <f>MOD(MOD(L$5,2)*INT(Bang_Tra_Cuu!$I$8/1)+MOD(INT(L$5/2),2)*INT(Bang_Tra_Cuu!$J$8/1)+MOD(INT(L$5/4),2)*INT(Bang_Tra_Cuu!$K$8/1)+MOD(INT(L$5/8),2)*INT(Bang_Tra_Cuu!$L$8/1),2)*1+MOD(MOD(L$5,2)*INT(Bang_Tra_Cuu!$I$8/2)+MOD(INT(L$5/2),2)*INT(Bang_Tra_Cuu!$J$8/2)+MOD(INT(L$5/4),2)*INT(Bang_Tra_Cuu!$K$8/2)+MOD(INT(L$5/8),2)*INT(Bang_Tra_Cuu!$L$8/2),2)*2+MOD(MOD(L$5,2)*INT(Bang_Tra_Cuu!$I$8/4)+MOD(INT(L$5/2),2)*INT(Bang_Tra_Cuu!$J$8/4)+MOD(INT(L$5/4),2)*INT(Bang_Tra_Cuu!$K$8/4)+MOD(INT(L$5/8),2)*INT(Bang_Tra_Cuu!$L$8/4),2)*4+MOD(MOD(L$5,2)*INT(Bang_Tra_Cuu!$I$8/8)+MOD(INT(L$5/2),2)*INT(Bang_Tra_Cuu!$J$8/8)+MOD(INT(L$5/4),2)*INT(Bang_Tra_Cuu!$K$8/8)+MOD(INT(L$5/8),2)*INT(Bang_Tra_Cuu!$L$8/8),2)*8</f>
        <v/>
      </c>
      <c r="M9" s="17">
        <f>MOD(MOD(M$5,2)*INT(Bang_Tra_Cuu!$I$8/1)+MOD(INT(M$5/2),2)*INT(Bang_Tra_Cuu!$J$8/1)+MOD(INT(M$5/4),2)*INT(Bang_Tra_Cuu!$K$8/1)+MOD(INT(M$5/8),2)*INT(Bang_Tra_Cuu!$L$8/1),2)*1+MOD(MOD(M$5,2)*INT(Bang_Tra_Cuu!$I$8/2)+MOD(INT(M$5/2),2)*INT(Bang_Tra_Cuu!$J$8/2)+MOD(INT(M$5/4),2)*INT(Bang_Tra_Cuu!$K$8/2)+MOD(INT(M$5/8),2)*INT(Bang_Tra_Cuu!$L$8/2),2)*2+MOD(MOD(M$5,2)*INT(Bang_Tra_Cuu!$I$8/4)+MOD(INT(M$5/2),2)*INT(Bang_Tra_Cuu!$J$8/4)+MOD(INT(M$5/4),2)*INT(Bang_Tra_Cuu!$K$8/4)+MOD(INT(M$5/8),2)*INT(Bang_Tra_Cuu!$L$8/4),2)*4+MOD(MOD(M$5,2)*INT(Bang_Tra_Cuu!$I$8/8)+MOD(INT(M$5/2),2)*INT(Bang_Tra_Cuu!$J$8/8)+MOD(INT(M$5/4),2)*INT(Bang_Tra_Cuu!$K$8/8)+MOD(INT(M$5/8),2)*INT(Bang_Tra_Cuu!$L$8/8),2)*8</f>
        <v/>
      </c>
      <c r="N9" s="14">
        <f>MOD(MOD(N$5,2)*INT(Bang_Tra_Cuu!$I$8/1)+MOD(INT(N$5/2),2)*INT(Bang_Tra_Cuu!$J$8/1)+MOD(INT(N$5/4),2)*INT(Bang_Tra_Cuu!$K$8/1)+MOD(INT(N$5/8),2)*INT(Bang_Tra_Cuu!$L$8/1),2)*1+MOD(MOD(N$5,2)*INT(Bang_Tra_Cuu!$I$8/2)+MOD(INT(N$5/2),2)*INT(Bang_Tra_Cuu!$J$8/2)+MOD(INT(N$5/4),2)*INT(Bang_Tra_Cuu!$K$8/2)+MOD(INT(N$5/8),2)*INT(Bang_Tra_Cuu!$L$8/2),2)*2+MOD(MOD(N$5,2)*INT(Bang_Tra_Cuu!$I$8/4)+MOD(INT(N$5/2),2)*INT(Bang_Tra_Cuu!$J$8/4)+MOD(INT(N$5/4),2)*INT(Bang_Tra_Cuu!$K$8/4)+MOD(INT(N$5/8),2)*INT(Bang_Tra_Cuu!$L$8/4),2)*4+MOD(MOD(N$5,2)*INT(Bang_Tra_Cuu!$I$8/8)+MOD(INT(N$5/2),2)*INT(Bang_Tra_Cuu!$J$8/8)+MOD(INT(N$5/4),2)*INT(Bang_Tra_Cuu!$K$8/8)+MOD(INT(N$5/8),2)*INT(Bang_Tra_Cuu!$L$8/8),2)*8</f>
        <v/>
      </c>
      <c r="O9" s="17">
        <f>MOD(MOD(O$5,2)*INT(Bang_Tra_Cuu!$I$8/1)+MOD(INT(O$5/2),2)*INT(Bang_Tra_Cuu!$J$8/1)+MOD(INT(O$5/4),2)*INT(Bang_Tra_Cuu!$K$8/1)+MOD(INT(O$5/8),2)*INT(Bang_Tra_Cuu!$L$8/1),2)*1+MOD(MOD(O$5,2)*INT(Bang_Tra_Cuu!$I$8/2)+MOD(INT(O$5/2),2)*INT(Bang_Tra_Cuu!$J$8/2)+MOD(INT(O$5/4),2)*INT(Bang_Tra_Cuu!$K$8/2)+MOD(INT(O$5/8),2)*INT(Bang_Tra_Cuu!$L$8/2),2)*2+MOD(MOD(O$5,2)*INT(Bang_Tra_Cuu!$I$8/4)+MOD(INT(O$5/2),2)*INT(Bang_Tra_Cuu!$J$8/4)+MOD(INT(O$5/4),2)*INT(Bang_Tra_Cuu!$K$8/4)+MOD(INT(O$5/8),2)*INT(Bang_Tra_Cuu!$L$8/4),2)*4+MOD(MOD(O$5,2)*INT(Bang_Tra_Cuu!$I$8/8)+MOD(INT(O$5/2),2)*INT(Bang_Tra_Cuu!$J$8/8)+MOD(INT(O$5/4),2)*INT(Bang_Tra_Cuu!$K$8/8)+MOD(INT(O$5/8),2)*INT(Bang_Tra_Cuu!$L$8/8),2)*8</f>
        <v/>
      </c>
      <c r="P9" s="14">
        <f>MOD(MOD(P$5,2)*INT(Bang_Tra_Cuu!$I$8/1)+MOD(INT(P$5/2),2)*INT(Bang_Tra_Cuu!$J$8/1)+MOD(INT(P$5/4),2)*INT(Bang_Tra_Cuu!$K$8/1)+MOD(INT(P$5/8),2)*INT(Bang_Tra_Cuu!$L$8/1),2)*1+MOD(MOD(P$5,2)*INT(Bang_Tra_Cuu!$I$8/2)+MOD(INT(P$5/2),2)*INT(Bang_Tra_Cuu!$J$8/2)+MOD(INT(P$5/4),2)*INT(Bang_Tra_Cuu!$K$8/2)+MOD(INT(P$5/8),2)*INT(Bang_Tra_Cuu!$L$8/2),2)*2+MOD(MOD(P$5,2)*INT(Bang_Tra_Cuu!$I$8/4)+MOD(INT(P$5/2),2)*INT(Bang_Tra_Cuu!$J$8/4)+MOD(INT(P$5/4),2)*INT(Bang_Tra_Cuu!$K$8/4)+MOD(INT(P$5/8),2)*INT(Bang_Tra_Cuu!$L$8/4),2)*4+MOD(MOD(P$5,2)*INT(Bang_Tra_Cuu!$I$8/8)+MOD(INT(P$5/2),2)*INT(Bang_Tra_Cuu!$J$8/8)+MOD(INT(P$5/4),2)*INT(Bang_Tra_Cuu!$K$8/8)+MOD(INT(P$5/8),2)*INT(Bang_Tra_Cuu!$L$8/8),2)*8</f>
        <v/>
      </c>
      <c r="Q9" s="17">
        <f>MOD(MOD(Q$5,2)*INT(Bang_Tra_Cuu!$I$8/1)+MOD(INT(Q$5/2),2)*INT(Bang_Tra_Cuu!$J$8/1)+MOD(INT(Q$5/4),2)*INT(Bang_Tra_Cuu!$K$8/1)+MOD(INT(Q$5/8),2)*INT(Bang_Tra_Cuu!$L$8/1),2)*1+MOD(MOD(Q$5,2)*INT(Bang_Tra_Cuu!$I$8/2)+MOD(INT(Q$5/2),2)*INT(Bang_Tra_Cuu!$J$8/2)+MOD(INT(Q$5/4),2)*INT(Bang_Tra_Cuu!$K$8/2)+MOD(INT(Q$5/8),2)*INT(Bang_Tra_Cuu!$L$8/2),2)*2+MOD(MOD(Q$5,2)*INT(Bang_Tra_Cuu!$I$8/4)+MOD(INT(Q$5/2),2)*INT(Bang_Tra_Cuu!$J$8/4)+MOD(INT(Q$5/4),2)*INT(Bang_Tra_Cuu!$K$8/4)+MOD(INT(Q$5/8),2)*INT(Bang_Tra_Cuu!$L$8/4),2)*4+MOD(MOD(Q$5,2)*INT(Bang_Tra_Cuu!$I$8/8)+MOD(INT(Q$5/2),2)*INT(Bang_Tra_Cuu!$J$8/8)+MOD(INT(Q$5/4),2)*INT(Bang_Tra_Cuu!$K$8/8)+MOD(INT(Q$5/8),2)*INT(Bang_Tra_Cuu!$L$8/8),2)*8</f>
        <v/>
      </c>
      <c r="R9" s="14">
        <f>MOD(MOD(R$5,2)*INT(Bang_Tra_Cuu!$I$8/1)+MOD(INT(R$5/2),2)*INT(Bang_Tra_Cuu!$J$8/1)+MOD(INT(R$5/4),2)*INT(Bang_Tra_Cuu!$K$8/1)+MOD(INT(R$5/8),2)*INT(Bang_Tra_Cuu!$L$8/1),2)*1+MOD(MOD(R$5,2)*INT(Bang_Tra_Cuu!$I$8/2)+MOD(INT(R$5/2),2)*INT(Bang_Tra_Cuu!$J$8/2)+MOD(INT(R$5/4),2)*INT(Bang_Tra_Cuu!$K$8/2)+MOD(INT(R$5/8),2)*INT(Bang_Tra_Cuu!$L$8/2),2)*2+MOD(MOD(R$5,2)*INT(Bang_Tra_Cuu!$I$8/4)+MOD(INT(R$5/2),2)*INT(Bang_Tra_Cuu!$J$8/4)+MOD(INT(R$5/4),2)*INT(Bang_Tra_Cuu!$K$8/4)+MOD(INT(R$5/8),2)*INT(Bang_Tra_Cuu!$L$8/4),2)*4+MOD(MOD(R$5,2)*INT(Bang_Tra_Cuu!$I$8/8)+MOD(INT(R$5/2),2)*INT(Bang_Tra_Cuu!$J$8/8)+MOD(INT(R$5/4),2)*INT(Bang_Tra_Cuu!$K$8/8)+MOD(INT(R$5/8),2)*INT(Bang_Tra_Cuu!$L$8/8),2)*8</f>
        <v/>
      </c>
      <c r="T9" s="17" t="n">
        <v>3</v>
      </c>
      <c r="U9" s="19" t="inlineStr">
        <is>
          <t>x + 1</t>
        </is>
      </c>
      <c r="V9" s="17">
        <f>COUNTIF($C$6:$R$21, T9)</f>
        <v/>
      </c>
      <c r="W9" s="17">
        <f>COUNTIF($D$7:$R$21, T9)</f>
        <v/>
      </c>
    </row>
    <row r="10" ht="20" customHeight="1">
      <c r="A10" s="30" t="n">
        <v>4</v>
      </c>
      <c r="B10" s="31" t="inlineStr">
        <is>
          <t>x^2</t>
        </is>
      </c>
      <c r="C10" s="14">
        <f>MOD(MOD(C$5,2)*INT(Bang_Tra_Cuu!$I$9/1)+MOD(INT(C$5/2),2)*INT(Bang_Tra_Cuu!$J$9/1)+MOD(INT(C$5/4),2)*INT(Bang_Tra_Cuu!$K$9/1)+MOD(INT(C$5/8),2)*INT(Bang_Tra_Cuu!$L$9/1),2)*1+MOD(MOD(C$5,2)*INT(Bang_Tra_Cuu!$I$9/2)+MOD(INT(C$5/2),2)*INT(Bang_Tra_Cuu!$J$9/2)+MOD(INT(C$5/4),2)*INT(Bang_Tra_Cuu!$K$9/2)+MOD(INT(C$5/8),2)*INT(Bang_Tra_Cuu!$L$9/2),2)*2+MOD(MOD(C$5,2)*INT(Bang_Tra_Cuu!$I$9/4)+MOD(INT(C$5/2),2)*INT(Bang_Tra_Cuu!$J$9/4)+MOD(INT(C$5/4),2)*INT(Bang_Tra_Cuu!$K$9/4)+MOD(INT(C$5/8),2)*INT(Bang_Tra_Cuu!$L$9/4),2)*4+MOD(MOD(C$5,2)*INT(Bang_Tra_Cuu!$I$9/8)+MOD(INT(C$5/2),2)*INT(Bang_Tra_Cuu!$J$9/8)+MOD(INT(C$5/4),2)*INT(Bang_Tra_Cuu!$K$9/8)+MOD(INT(C$5/8),2)*INT(Bang_Tra_Cuu!$L$9/8),2)*8</f>
        <v/>
      </c>
      <c r="D10" s="17">
        <f>MOD(MOD(D$5,2)*INT(Bang_Tra_Cuu!$I$9/1)+MOD(INT(D$5/2),2)*INT(Bang_Tra_Cuu!$J$9/1)+MOD(INT(D$5/4),2)*INT(Bang_Tra_Cuu!$K$9/1)+MOD(INT(D$5/8),2)*INT(Bang_Tra_Cuu!$L$9/1),2)*1+MOD(MOD(D$5,2)*INT(Bang_Tra_Cuu!$I$9/2)+MOD(INT(D$5/2),2)*INT(Bang_Tra_Cuu!$J$9/2)+MOD(INT(D$5/4),2)*INT(Bang_Tra_Cuu!$K$9/2)+MOD(INT(D$5/8),2)*INT(Bang_Tra_Cuu!$L$9/2),2)*2+MOD(MOD(D$5,2)*INT(Bang_Tra_Cuu!$I$9/4)+MOD(INT(D$5/2),2)*INT(Bang_Tra_Cuu!$J$9/4)+MOD(INT(D$5/4),2)*INT(Bang_Tra_Cuu!$K$9/4)+MOD(INT(D$5/8),2)*INT(Bang_Tra_Cuu!$L$9/4),2)*4+MOD(MOD(D$5,2)*INT(Bang_Tra_Cuu!$I$9/8)+MOD(INT(D$5/2),2)*INT(Bang_Tra_Cuu!$J$9/8)+MOD(INT(D$5/4),2)*INT(Bang_Tra_Cuu!$K$9/8)+MOD(INT(D$5/8),2)*INT(Bang_Tra_Cuu!$L$9/8),2)*8</f>
        <v/>
      </c>
      <c r="E10" s="14">
        <f>MOD(MOD(E$5,2)*INT(Bang_Tra_Cuu!$I$9/1)+MOD(INT(E$5/2),2)*INT(Bang_Tra_Cuu!$J$9/1)+MOD(INT(E$5/4),2)*INT(Bang_Tra_Cuu!$K$9/1)+MOD(INT(E$5/8),2)*INT(Bang_Tra_Cuu!$L$9/1),2)*1+MOD(MOD(E$5,2)*INT(Bang_Tra_Cuu!$I$9/2)+MOD(INT(E$5/2),2)*INT(Bang_Tra_Cuu!$J$9/2)+MOD(INT(E$5/4),2)*INT(Bang_Tra_Cuu!$K$9/2)+MOD(INT(E$5/8),2)*INT(Bang_Tra_Cuu!$L$9/2),2)*2+MOD(MOD(E$5,2)*INT(Bang_Tra_Cuu!$I$9/4)+MOD(INT(E$5/2),2)*INT(Bang_Tra_Cuu!$J$9/4)+MOD(INT(E$5/4),2)*INT(Bang_Tra_Cuu!$K$9/4)+MOD(INT(E$5/8),2)*INT(Bang_Tra_Cuu!$L$9/4),2)*4+MOD(MOD(E$5,2)*INT(Bang_Tra_Cuu!$I$9/8)+MOD(INT(E$5/2),2)*INT(Bang_Tra_Cuu!$J$9/8)+MOD(INT(E$5/4),2)*INT(Bang_Tra_Cuu!$K$9/8)+MOD(INT(E$5/8),2)*INT(Bang_Tra_Cuu!$L$9/8),2)*8</f>
        <v/>
      </c>
      <c r="F10" s="17">
        <f>MOD(MOD(F$5,2)*INT(Bang_Tra_Cuu!$I$9/1)+MOD(INT(F$5/2),2)*INT(Bang_Tra_Cuu!$J$9/1)+MOD(INT(F$5/4),2)*INT(Bang_Tra_Cuu!$K$9/1)+MOD(INT(F$5/8),2)*INT(Bang_Tra_Cuu!$L$9/1),2)*1+MOD(MOD(F$5,2)*INT(Bang_Tra_Cuu!$I$9/2)+MOD(INT(F$5/2),2)*INT(Bang_Tra_Cuu!$J$9/2)+MOD(INT(F$5/4),2)*INT(Bang_Tra_Cuu!$K$9/2)+MOD(INT(F$5/8),2)*INT(Bang_Tra_Cuu!$L$9/2),2)*2+MOD(MOD(F$5,2)*INT(Bang_Tra_Cuu!$I$9/4)+MOD(INT(F$5/2),2)*INT(Bang_Tra_Cuu!$J$9/4)+MOD(INT(F$5/4),2)*INT(Bang_Tra_Cuu!$K$9/4)+MOD(INT(F$5/8),2)*INT(Bang_Tra_Cuu!$L$9/4),2)*4+MOD(MOD(F$5,2)*INT(Bang_Tra_Cuu!$I$9/8)+MOD(INT(F$5/2),2)*INT(Bang_Tra_Cuu!$J$9/8)+MOD(INT(F$5/4),2)*INT(Bang_Tra_Cuu!$K$9/8)+MOD(INT(F$5/8),2)*INT(Bang_Tra_Cuu!$L$9/8),2)*8</f>
        <v/>
      </c>
      <c r="G10" s="14">
        <f>MOD(MOD(G$5,2)*INT(Bang_Tra_Cuu!$I$9/1)+MOD(INT(G$5/2),2)*INT(Bang_Tra_Cuu!$J$9/1)+MOD(INT(G$5/4),2)*INT(Bang_Tra_Cuu!$K$9/1)+MOD(INT(G$5/8),2)*INT(Bang_Tra_Cuu!$L$9/1),2)*1+MOD(MOD(G$5,2)*INT(Bang_Tra_Cuu!$I$9/2)+MOD(INT(G$5/2),2)*INT(Bang_Tra_Cuu!$J$9/2)+MOD(INT(G$5/4),2)*INT(Bang_Tra_Cuu!$K$9/2)+MOD(INT(G$5/8),2)*INT(Bang_Tra_Cuu!$L$9/2),2)*2+MOD(MOD(G$5,2)*INT(Bang_Tra_Cuu!$I$9/4)+MOD(INT(G$5/2),2)*INT(Bang_Tra_Cuu!$J$9/4)+MOD(INT(G$5/4),2)*INT(Bang_Tra_Cuu!$K$9/4)+MOD(INT(G$5/8),2)*INT(Bang_Tra_Cuu!$L$9/4),2)*4+MOD(MOD(G$5,2)*INT(Bang_Tra_Cuu!$I$9/8)+MOD(INT(G$5/2),2)*INT(Bang_Tra_Cuu!$J$9/8)+MOD(INT(G$5/4),2)*INT(Bang_Tra_Cuu!$K$9/8)+MOD(INT(G$5/8),2)*INT(Bang_Tra_Cuu!$L$9/8),2)*8</f>
        <v/>
      </c>
      <c r="H10" s="17">
        <f>MOD(MOD(H$5,2)*INT(Bang_Tra_Cuu!$I$9/1)+MOD(INT(H$5/2),2)*INT(Bang_Tra_Cuu!$J$9/1)+MOD(INT(H$5/4),2)*INT(Bang_Tra_Cuu!$K$9/1)+MOD(INT(H$5/8),2)*INT(Bang_Tra_Cuu!$L$9/1),2)*1+MOD(MOD(H$5,2)*INT(Bang_Tra_Cuu!$I$9/2)+MOD(INT(H$5/2),2)*INT(Bang_Tra_Cuu!$J$9/2)+MOD(INT(H$5/4),2)*INT(Bang_Tra_Cuu!$K$9/2)+MOD(INT(H$5/8),2)*INT(Bang_Tra_Cuu!$L$9/2),2)*2+MOD(MOD(H$5,2)*INT(Bang_Tra_Cuu!$I$9/4)+MOD(INT(H$5/2),2)*INT(Bang_Tra_Cuu!$J$9/4)+MOD(INT(H$5/4),2)*INT(Bang_Tra_Cuu!$K$9/4)+MOD(INT(H$5/8),2)*INT(Bang_Tra_Cuu!$L$9/4),2)*4+MOD(MOD(H$5,2)*INT(Bang_Tra_Cuu!$I$9/8)+MOD(INT(H$5/2),2)*INT(Bang_Tra_Cuu!$J$9/8)+MOD(INT(H$5/4),2)*INT(Bang_Tra_Cuu!$K$9/8)+MOD(INT(H$5/8),2)*INT(Bang_Tra_Cuu!$L$9/8),2)*8</f>
        <v/>
      </c>
      <c r="I10" s="14">
        <f>MOD(MOD(I$5,2)*INT(Bang_Tra_Cuu!$I$9/1)+MOD(INT(I$5/2),2)*INT(Bang_Tra_Cuu!$J$9/1)+MOD(INT(I$5/4),2)*INT(Bang_Tra_Cuu!$K$9/1)+MOD(INT(I$5/8),2)*INT(Bang_Tra_Cuu!$L$9/1),2)*1+MOD(MOD(I$5,2)*INT(Bang_Tra_Cuu!$I$9/2)+MOD(INT(I$5/2),2)*INT(Bang_Tra_Cuu!$J$9/2)+MOD(INT(I$5/4),2)*INT(Bang_Tra_Cuu!$K$9/2)+MOD(INT(I$5/8),2)*INT(Bang_Tra_Cuu!$L$9/2),2)*2+MOD(MOD(I$5,2)*INT(Bang_Tra_Cuu!$I$9/4)+MOD(INT(I$5/2),2)*INT(Bang_Tra_Cuu!$J$9/4)+MOD(INT(I$5/4),2)*INT(Bang_Tra_Cuu!$K$9/4)+MOD(INT(I$5/8),2)*INT(Bang_Tra_Cuu!$L$9/4),2)*4+MOD(MOD(I$5,2)*INT(Bang_Tra_Cuu!$I$9/8)+MOD(INT(I$5/2),2)*INT(Bang_Tra_Cuu!$J$9/8)+MOD(INT(I$5/4),2)*INT(Bang_Tra_Cuu!$K$9/8)+MOD(INT(I$5/8),2)*INT(Bang_Tra_Cuu!$L$9/8),2)*8</f>
        <v/>
      </c>
      <c r="J10" s="17">
        <f>MOD(MOD(J$5,2)*INT(Bang_Tra_Cuu!$I$9/1)+MOD(INT(J$5/2),2)*INT(Bang_Tra_Cuu!$J$9/1)+MOD(INT(J$5/4),2)*INT(Bang_Tra_Cuu!$K$9/1)+MOD(INT(J$5/8),2)*INT(Bang_Tra_Cuu!$L$9/1),2)*1+MOD(MOD(J$5,2)*INT(Bang_Tra_Cuu!$I$9/2)+MOD(INT(J$5/2),2)*INT(Bang_Tra_Cuu!$J$9/2)+MOD(INT(J$5/4),2)*INT(Bang_Tra_Cuu!$K$9/2)+MOD(INT(J$5/8),2)*INT(Bang_Tra_Cuu!$L$9/2),2)*2+MOD(MOD(J$5,2)*INT(Bang_Tra_Cuu!$I$9/4)+MOD(INT(J$5/2),2)*INT(Bang_Tra_Cuu!$J$9/4)+MOD(INT(J$5/4),2)*INT(Bang_Tra_Cuu!$K$9/4)+MOD(INT(J$5/8),2)*INT(Bang_Tra_Cuu!$L$9/4),2)*4+MOD(MOD(J$5,2)*INT(Bang_Tra_Cuu!$I$9/8)+MOD(INT(J$5/2),2)*INT(Bang_Tra_Cuu!$J$9/8)+MOD(INT(J$5/4),2)*INT(Bang_Tra_Cuu!$K$9/8)+MOD(INT(J$5/8),2)*INT(Bang_Tra_Cuu!$L$9/8),2)*8</f>
        <v/>
      </c>
      <c r="K10" s="14">
        <f>MOD(MOD(K$5,2)*INT(Bang_Tra_Cuu!$I$9/1)+MOD(INT(K$5/2),2)*INT(Bang_Tra_Cuu!$J$9/1)+MOD(INT(K$5/4),2)*INT(Bang_Tra_Cuu!$K$9/1)+MOD(INT(K$5/8),2)*INT(Bang_Tra_Cuu!$L$9/1),2)*1+MOD(MOD(K$5,2)*INT(Bang_Tra_Cuu!$I$9/2)+MOD(INT(K$5/2),2)*INT(Bang_Tra_Cuu!$J$9/2)+MOD(INT(K$5/4),2)*INT(Bang_Tra_Cuu!$K$9/2)+MOD(INT(K$5/8),2)*INT(Bang_Tra_Cuu!$L$9/2),2)*2+MOD(MOD(K$5,2)*INT(Bang_Tra_Cuu!$I$9/4)+MOD(INT(K$5/2),2)*INT(Bang_Tra_Cuu!$J$9/4)+MOD(INT(K$5/4),2)*INT(Bang_Tra_Cuu!$K$9/4)+MOD(INT(K$5/8),2)*INT(Bang_Tra_Cuu!$L$9/4),2)*4+MOD(MOD(K$5,2)*INT(Bang_Tra_Cuu!$I$9/8)+MOD(INT(K$5/2),2)*INT(Bang_Tra_Cuu!$J$9/8)+MOD(INT(K$5/4),2)*INT(Bang_Tra_Cuu!$K$9/8)+MOD(INT(K$5/8),2)*INT(Bang_Tra_Cuu!$L$9/8),2)*8</f>
        <v/>
      </c>
      <c r="L10" s="17">
        <f>MOD(MOD(L$5,2)*INT(Bang_Tra_Cuu!$I$9/1)+MOD(INT(L$5/2),2)*INT(Bang_Tra_Cuu!$J$9/1)+MOD(INT(L$5/4),2)*INT(Bang_Tra_Cuu!$K$9/1)+MOD(INT(L$5/8),2)*INT(Bang_Tra_Cuu!$L$9/1),2)*1+MOD(MOD(L$5,2)*INT(Bang_Tra_Cuu!$I$9/2)+MOD(INT(L$5/2),2)*INT(Bang_Tra_Cuu!$J$9/2)+MOD(INT(L$5/4),2)*INT(Bang_Tra_Cuu!$K$9/2)+MOD(INT(L$5/8),2)*INT(Bang_Tra_Cuu!$L$9/2),2)*2+MOD(MOD(L$5,2)*INT(Bang_Tra_Cuu!$I$9/4)+MOD(INT(L$5/2),2)*INT(Bang_Tra_Cuu!$J$9/4)+MOD(INT(L$5/4),2)*INT(Bang_Tra_Cuu!$K$9/4)+MOD(INT(L$5/8),2)*INT(Bang_Tra_Cuu!$L$9/4),2)*4+MOD(MOD(L$5,2)*INT(Bang_Tra_Cuu!$I$9/8)+MOD(INT(L$5/2),2)*INT(Bang_Tra_Cuu!$J$9/8)+MOD(INT(L$5/4),2)*INT(Bang_Tra_Cuu!$K$9/8)+MOD(INT(L$5/8),2)*INT(Bang_Tra_Cuu!$L$9/8),2)*8</f>
        <v/>
      </c>
      <c r="M10" s="14">
        <f>MOD(MOD(M$5,2)*INT(Bang_Tra_Cuu!$I$9/1)+MOD(INT(M$5/2),2)*INT(Bang_Tra_Cuu!$J$9/1)+MOD(INT(M$5/4),2)*INT(Bang_Tra_Cuu!$K$9/1)+MOD(INT(M$5/8),2)*INT(Bang_Tra_Cuu!$L$9/1),2)*1+MOD(MOD(M$5,2)*INT(Bang_Tra_Cuu!$I$9/2)+MOD(INT(M$5/2),2)*INT(Bang_Tra_Cuu!$J$9/2)+MOD(INT(M$5/4),2)*INT(Bang_Tra_Cuu!$K$9/2)+MOD(INT(M$5/8),2)*INT(Bang_Tra_Cuu!$L$9/2),2)*2+MOD(MOD(M$5,2)*INT(Bang_Tra_Cuu!$I$9/4)+MOD(INT(M$5/2),2)*INT(Bang_Tra_Cuu!$J$9/4)+MOD(INT(M$5/4),2)*INT(Bang_Tra_Cuu!$K$9/4)+MOD(INT(M$5/8),2)*INT(Bang_Tra_Cuu!$L$9/4),2)*4+MOD(MOD(M$5,2)*INT(Bang_Tra_Cuu!$I$9/8)+MOD(INT(M$5/2),2)*INT(Bang_Tra_Cuu!$J$9/8)+MOD(INT(M$5/4),2)*INT(Bang_Tra_Cuu!$K$9/8)+MOD(INT(M$5/8),2)*INT(Bang_Tra_Cuu!$L$9/8),2)*8</f>
        <v/>
      </c>
      <c r="N10" s="17">
        <f>MOD(MOD(N$5,2)*INT(Bang_Tra_Cuu!$I$9/1)+MOD(INT(N$5/2),2)*INT(Bang_Tra_Cuu!$J$9/1)+MOD(INT(N$5/4),2)*INT(Bang_Tra_Cuu!$K$9/1)+MOD(INT(N$5/8),2)*INT(Bang_Tra_Cuu!$L$9/1),2)*1+MOD(MOD(N$5,2)*INT(Bang_Tra_Cuu!$I$9/2)+MOD(INT(N$5/2),2)*INT(Bang_Tra_Cuu!$J$9/2)+MOD(INT(N$5/4),2)*INT(Bang_Tra_Cuu!$K$9/2)+MOD(INT(N$5/8),2)*INT(Bang_Tra_Cuu!$L$9/2),2)*2+MOD(MOD(N$5,2)*INT(Bang_Tra_Cuu!$I$9/4)+MOD(INT(N$5/2),2)*INT(Bang_Tra_Cuu!$J$9/4)+MOD(INT(N$5/4),2)*INT(Bang_Tra_Cuu!$K$9/4)+MOD(INT(N$5/8),2)*INT(Bang_Tra_Cuu!$L$9/4),2)*4+MOD(MOD(N$5,2)*INT(Bang_Tra_Cuu!$I$9/8)+MOD(INT(N$5/2),2)*INT(Bang_Tra_Cuu!$J$9/8)+MOD(INT(N$5/4),2)*INT(Bang_Tra_Cuu!$K$9/8)+MOD(INT(N$5/8),2)*INT(Bang_Tra_Cuu!$L$9/8),2)*8</f>
        <v/>
      </c>
      <c r="O10" s="14">
        <f>MOD(MOD(O$5,2)*INT(Bang_Tra_Cuu!$I$9/1)+MOD(INT(O$5/2),2)*INT(Bang_Tra_Cuu!$J$9/1)+MOD(INT(O$5/4),2)*INT(Bang_Tra_Cuu!$K$9/1)+MOD(INT(O$5/8),2)*INT(Bang_Tra_Cuu!$L$9/1),2)*1+MOD(MOD(O$5,2)*INT(Bang_Tra_Cuu!$I$9/2)+MOD(INT(O$5/2),2)*INT(Bang_Tra_Cuu!$J$9/2)+MOD(INT(O$5/4),2)*INT(Bang_Tra_Cuu!$K$9/2)+MOD(INT(O$5/8),2)*INT(Bang_Tra_Cuu!$L$9/2),2)*2+MOD(MOD(O$5,2)*INT(Bang_Tra_Cuu!$I$9/4)+MOD(INT(O$5/2),2)*INT(Bang_Tra_Cuu!$J$9/4)+MOD(INT(O$5/4),2)*INT(Bang_Tra_Cuu!$K$9/4)+MOD(INT(O$5/8),2)*INT(Bang_Tra_Cuu!$L$9/4),2)*4+MOD(MOD(O$5,2)*INT(Bang_Tra_Cuu!$I$9/8)+MOD(INT(O$5/2),2)*INT(Bang_Tra_Cuu!$J$9/8)+MOD(INT(O$5/4),2)*INT(Bang_Tra_Cuu!$K$9/8)+MOD(INT(O$5/8),2)*INT(Bang_Tra_Cuu!$L$9/8),2)*8</f>
        <v/>
      </c>
      <c r="P10" s="17">
        <f>MOD(MOD(P$5,2)*INT(Bang_Tra_Cuu!$I$9/1)+MOD(INT(P$5/2),2)*INT(Bang_Tra_Cuu!$J$9/1)+MOD(INT(P$5/4),2)*INT(Bang_Tra_Cuu!$K$9/1)+MOD(INT(P$5/8),2)*INT(Bang_Tra_Cuu!$L$9/1),2)*1+MOD(MOD(P$5,2)*INT(Bang_Tra_Cuu!$I$9/2)+MOD(INT(P$5/2),2)*INT(Bang_Tra_Cuu!$J$9/2)+MOD(INT(P$5/4),2)*INT(Bang_Tra_Cuu!$K$9/2)+MOD(INT(P$5/8),2)*INT(Bang_Tra_Cuu!$L$9/2),2)*2+MOD(MOD(P$5,2)*INT(Bang_Tra_Cuu!$I$9/4)+MOD(INT(P$5/2),2)*INT(Bang_Tra_Cuu!$J$9/4)+MOD(INT(P$5/4),2)*INT(Bang_Tra_Cuu!$K$9/4)+MOD(INT(P$5/8),2)*INT(Bang_Tra_Cuu!$L$9/4),2)*4+MOD(MOD(P$5,2)*INT(Bang_Tra_Cuu!$I$9/8)+MOD(INT(P$5/2),2)*INT(Bang_Tra_Cuu!$J$9/8)+MOD(INT(P$5/4),2)*INT(Bang_Tra_Cuu!$K$9/8)+MOD(INT(P$5/8),2)*INT(Bang_Tra_Cuu!$L$9/8),2)*8</f>
        <v/>
      </c>
      <c r="Q10" s="14">
        <f>MOD(MOD(Q$5,2)*INT(Bang_Tra_Cuu!$I$9/1)+MOD(INT(Q$5/2),2)*INT(Bang_Tra_Cuu!$J$9/1)+MOD(INT(Q$5/4),2)*INT(Bang_Tra_Cuu!$K$9/1)+MOD(INT(Q$5/8),2)*INT(Bang_Tra_Cuu!$L$9/1),2)*1+MOD(MOD(Q$5,2)*INT(Bang_Tra_Cuu!$I$9/2)+MOD(INT(Q$5/2),2)*INT(Bang_Tra_Cuu!$J$9/2)+MOD(INT(Q$5/4),2)*INT(Bang_Tra_Cuu!$K$9/2)+MOD(INT(Q$5/8),2)*INT(Bang_Tra_Cuu!$L$9/2),2)*2+MOD(MOD(Q$5,2)*INT(Bang_Tra_Cuu!$I$9/4)+MOD(INT(Q$5/2),2)*INT(Bang_Tra_Cuu!$J$9/4)+MOD(INT(Q$5/4),2)*INT(Bang_Tra_Cuu!$K$9/4)+MOD(INT(Q$5/8),2)*INT(Bang_Tra_Cuu!$L$9/4),2)*4+MOD(MOD(Q$5,2)*INT(Bang_Tra_Cuu!$I$9/8)+MOD(INT(Q$5/2),2)*INT(Bang_Tra_Cuu!$J$9/8)+MOD(INT(Q$5/4),2)*INT(Bang_Tra_Cuu!$K$9/8)+MOD(INT(Q$5/8),2)*INT(Bang_Tra_Cuu!$L$9/8),2)*8</f>
        <v/>
      </c>
      <c r="R10" s="17">
        <f>MOD(MOD(R$5,2)*INT(Bang_Tra_Cuu!$I$9/1)+MOD(INT(R$5/2),2)*INT(Bang_Tra_Cuu!$J$9/1)+MOD(INT(R$5/4),2)*INT(Bang_Tra_Cuu!$K$9/1)+MOD(INT(R$5/8),2)*INT(Bang_Tra_Cuu!$L$9/1),2)*1+MOD(MOD(R$5,2)*INT(Bang_Tra_Cuu!$I$9/2)+MOD(INT(R$5/2),2)*INT(Bang_Tra_Cuu!$J$9/2)+MOD(INT(R$5/4),2)*INT(Bang_Tra_Cuu!$K$9/2)+MOD(INT(R$5/8),2)*INT(Bang_Tra_Cuu!$L$9/2),2)*2+MOD(MOD(R$5,2)*INT(Bang_Tra_Cuu!$I$9/4)+MOD(INT(R$5/2),2)*INT(Bang_Tra_Cuu!$J$9/4)+MOD(INT(R$5/4),2)*INT(Bang_Tra_Cuu!$K$9/4)+MOD(INT(R$5/8),2)*INT(Bang_Tra_Cuu!$L$9/4),2)*4+MOD(MOD(R$5,2)*INT(Bang_Tra_Cuu!$I$9/8)+MOD(INT(R$5/2),2)*INT(Bang_Tra_Cuu!$J$9/8)+MOD(INT(R$5/4),2)*INT(Bang_Tra_Cuu!$K$9/8)+MOD(INT(R$5/8),2)*INT(Bang_Tra_Cuu!$L$9/8),2)*8</f>
        <v/>
      </c>
      <c r="T10" s="14" t="n">
        <v>4</v>
      </c>
      <c r="U10" s="6" t="inlineStr">
        <is>
          <t>x^2</t>
        </is>
      </c>
      <c r="V10" s="14">
        <f>COUNTIF($C$6:$R$21, T10)</f>
        <v/>
      </c>
      <c r="W10" s="14">
        <f>COUNTIF($D$7:$R$21, T10)</f>
        <v/>
      </c>
    </row>
    <row r="11" ht="20" customHeight="1">
      <c r="A11" s="30" t="n">
        <v>5</v>
      </c>
      <c r="B11" s="31" t="inlineStr">
        <is>
          <t>x^2 + 1</t>
        </is>
      </c>
      <c r="C11" s="17">
        <f>MOD(MOD(C$5,2)*INT(Bang_Tra_Cuu!$I$10/1)+MOD(INT(C$5/2),2)*INT(Bang_Tra_Cuu!$J$10/1)+MOD(INT(C$5/4),2)*INT(Bang_Tra_Cuu!$K$10/1)+MOD(INT(C$5/8),2)*INT(Bang_Tra_Cuu!$L$10/1),2)*1+MOD(MOD(C$5,2)*INT(Bang_Tra_Cuu!$I$10/2)+MOD(INT(C$5/2),2)*INT(Bang_Tra_Cuu!$J$10/2)+MOD(INT(C$5/4),2)*INT(Bang_Tra_Cuu!$K$10/2)+MOD(INT(C$5/8),2)*INT(Bang_Tra_Cuu!$L$10/2),2)*2+MOD(MOD(C$5,2)*INT(Bang_Tra_Cuu!$I$10/4)+MOD(INT(C$5/2),2)*INT(Bang_Tra_Cuu!$J$10/4)+MOD(INT(C$5/4),2)*INT(Bang_Tra_Cuu!$K$10/4)+MOD(INT(C$5/8),2)*INT(Bang_Tra_Cuu!$L$10/4),2)*4+MOD(MOD(C$5,2)*INT(Bang_Tra_Cuu!$I$10/8)+MOD(INT(C$5/2),2)*INT(Bang_Tra_Cuu!$J$10/8)+MOD(INT(C$5/4),2)*INT(Bang_Tra_Cuu!$K$10/8)+MOD(INT(C$5/8),2)*INT(Bang_Tra_Cuu!$L$10/8),2)*8</f>
        <v/>
      </c>
      <c r="D11" s="14">
        <f>MOD(MOD(D$5,2)*INT(Bang_Tra_Cuu!$I$10/1)+MOD(INT(D$5/2),2)*INT(Bang_Tra_Cuu!$J$10/1)+MOD(INT(D$5/4),2)*INT(Bang_Tra_Cuu!$K$10/1)+MOD(INT(D$5/8),2)*INT(Bang_Tra_Cuu!$L$10/1),2)*1+MOD(MOD(D$5,2)*INT(Bang_Tra_Cuu!$I$10/2)+MOD(INT(D$5/2),2)*INT(Bang_Tra_Cuu!$J$10/2)+MOD(INT(D$5/4),2)*INT(Bang_Tra_Cuu!$K$10/2)+MOD(INT(D$5/8),2)*INT(Bang_Tra_Cuu!$L$10/2),2)*2+MOD(MOD(D$5,2)*INT(Bang_Tra_Cuu!$I$10/4)+MOD(INT(D$5/2),2)*INT(Bang_Tra_Cuu!$J$10/4)+MOD(INT(D$5/4),2)*INT(Bang_Tra_Cuu!$K$10/4)+MOD(INT(D$5/8),2)*INT(Bang_Tra_Cuu!$L$10/4),2)*4+MOD(MOD(D$5,2)*INT(Bang_Tra_Cuu!$I$10/8)+MOD(INT(D$5/2),2)*INT(Bang_Tra_Cuu!$J$10/8)+MOD(INT(D$5/4),2)*INT(Bang_Tra_Cuu!$K$10/8)+MOD(INT(D$5/8),2)*INT(Bang_Tra_Cuu!$L$10/8),2)*8</f>
        <v/>
      </c>
      <c r="E11" s="17">
        <f>MOD(MOD(E$5,2)*INT(Bang_Tra_Cuu!$I$10/1)+MOD(INT(E$5/2),2)*INT(Bang_Tra_Cuu!$J$10/1)+MOD(INT(E$5/4),2)*INT(Bang_Tra_Cuu!$K$10/1)+MOD(INT(E$5/8),2)*INT(Bang_Tra_Cuu!$L$10/1),2)*1+MOD(MOD(E$5,2)*INT(Bang_Tra_Cuu!$I$10/2)+MOD(INT(E$5/2),2)*INT(Bang_Tra_Cuu!$J$10/2)+MOD(INT(E$5/4),2)*INT(Bang_Tra_Cuu!$K$10/2)+MOD(INT(E$5/8),2)*INT(Bang_Tra_Cuu!$L$10/2),2)*2+MOD(MOD(E$5,2)*INT(Bang_Tra_Cuu!$I$10/4)+MOD(INT(E$5/2),2)*INT(Bang_Tra_Cuu!$J$10/4)+MOD(INT(E$5/4),2)*INT(Bang_Tra_Cuu!$K$10/4)+MOD(INT(E$5/8),2)*INT(Bang_Tra_Cuu!$L$10/4),2)*4+MOD(MOD(E$5,2)*INT(Bang_Tra_Cuu!$I$10/8)+MOD(INT(E$5/2),2)*INT(Bang_Tra_Cuu!$J$10/8)+MOD(INT(E$5/4),2)*INT(Bang_Tra_Cuu!$K$10/8)+MOD(INT(E$5/8),2)*INT(Bang_Tra_Cuu!$L$10/8),2)*8</f>
        <v/>
      </c>
      <c r="F11" s="14">
        <f>MOD(MOD(F$5,2)*INT(Bang_Tra_Cuu!$I$10/1)+MOD(INT(F$5/2),2)*INT(Bang_Tra_Cuu!$J$10/1)+MOD(INT(F$5/4),2)*INT(Bang_Tra_Cuu!$K$10/1)+MOD(INT(F$5/8),2)*INT(Bang_Tra_Cuu!$L$10/1),2)*1+MOD(MOD(F$5,2)*INT(Bang_Tra_Cuu!$I$10/2)+MOD(INT(F$5/2),2)*INT(Bang_Tra_Cuu!$J$10/2)+MOD(INT(F$5/4),2)*INT(Bang_Tra_Cuu!$K$10/2)+MOD(INT(F$5/8),2)*INT(Bang_Tra_Cuu!$L$10/2),2)*2+MOD(MOD(F$5,2)*INT(Bang_Tra_Cuu!$I$10/4)+MOD(INT(F$5/2),2)*INT(Bang_Tra_Cuu!$J$10/4)+MOD(INT(F$5/4),2)*INT(Bang_Tra_Cuu!$K$10/4)+MOD(INT(F$5/8),2)*INT(Bang_Tra_Cuu!$L$10/4),2)*4+MOD(MOD(F$5,2)*INT(Bang_Tra_Cuu!$I$10/8)+MOD(INT(F$5/2),2)*INT(Bang_Tra_Cuu!$J$10/8)+MOD(INT(F$5/4),2)*INT(Bang_Tra_Cuu!$K$10/8)+MOD(INT(F$5/8),2)*INT(Bang_Tra_Cuu!$L$10/8),2)*8</f>
        <v/>
      </c>
      <c r="G11" s="17">
        <f>MOD(MOD(G$5,2)*INT(Bang_Tra_Cuu!$I$10/1)+MOD(INT(G$5/2),2)*INT(Bang_Tra_Cuu!$J$10/1)+MOD(INT(G$5/4),2)*INT(Bang_Tra_Cuu!$K$10/1)+MOD(INT(G$5/8),2)*INT(Bang_Tra_Cuu!$L$10/1),2)*1+MOD(MOD(G$5,2)*INT(Bang_Tra_Cuu!$I$10/2)+MOD(INT(G$5/2),2)*INT(Bang_Tra_Cuu!$J$10/2)+MOD(INT(G$5/4),2)*INT(Bang_Tra_Cuu!$K$10/2)+MOD(INT(G$5/8),2)*INT(Bang_Tra_Cuu!$L$10/2),2)*2+MOD(MOD(G$5,2)*INT(Bang_Tra_Cuu!$I$10/4)+MOD(INT(G$5/2),2)*INT(Bang_Tra_Cuu!$J$10/4)+MOD(INT(G$5/4),2)*INT(Bang_Tra_Cuu!$K$10/4)+MOD(INT(G$5/8),2)*INT(Bang_Tra_Cuu!$L$10/4),2)*4+MOD(MOD(G$5,2)*INT(Bang_Tra_Cuu!$I$10/8)+MOD(INT(G$5/2),2)*INT(Bang_Tra_Cuu!$J$10/8)+MOD(INT(G$5/4),2)*INT(Bang_Tra_Cuu!$K$10/8)+MOD(INT(G$5/8),2)*INT(Bang_Tra_Cuu!$L$10/8),2)*8</f>
        <v/>
      </c>
      <c r="H11" s="14">
        <f>MOD(MOD(H$5,2)*INT(Bang_Tra_Cuu!$I$10/1)+MOD(INT(H$5/2),2)*INT(Bang_Tra_Cuu!$J$10/1)+MOD(INT(H$5/4),2)*INT(Bang_Tra_Cuu!$K$10/1)+MOD(INT(H$5/8),2)*INT(Bang_Tra_Cuu!$L$10/1),2)*1+MOD(MOD(H$5,2)*INT(Bang_Tra_Cuu!$I$10/2)+MOD(INT(H$5/2),2)*INT(Bang_Tra_Cuu!$J$10/2)+MOD(INT(H$5/4),2)*INT(Bang_Tra_Cuu!$K$10/2)+MOD(INT(H$5/8),2)*INT(Bang_Tra_Cuu!$L$10/2),2)*2+MOD(MOD(H$5,2)*INT(Bang_Tra_Cuu!$I$10/4)+MOD(INT(H$5/2),2)*INT(Bang_Tra_Cuu!$J$10/4)+MOD(INT(H$5/4),2)*INT(Bang_Tra_Cuu!$K$10/4)+MOD(INT(H$5/8),2)*INT(Bang_Tra_Cuu!$L$10/4),2)*4+MOD(MOD(H$5,2)*INT(Bang_Tra_Cuu!$I$10/8)+MOD(INT(H$5/2),2)*INT(Bang_Tra_Cuu!$J$10/8)+MOD(INT(H$5/4),2)*INT(Bang_Tra_Cuu!$K$10/8)+MOD(INT(H$5/8),2)*INT(Bang_Tra_Cuu!$L$10/8),2)*8</f>
        <v/>
      </c>
      <c r="I11" s="17">
        <f>MOD(MOD(I$5,2)*INT(Bang_Tra_Cuu!$I$10/1)+MOD(INT(I$5/2),2)*INT(Bang_Tra_Cuu!$J$10/1)+MOD(INT(I$5/4),2)*INT(Bang_Tra_Cuu!$K$10/1)+MOD(INT(I$5/8),2)*INT(Bang_Tra_Cuu!$L$10/1),2)*1+MOD(MOD(I$5,2)*INT(Bang_Tra_Cuu!$I$10/2)+MOD(INT(I$5/2),2)*INT(Bang_Tra_Cuu!$J$10/2)+MOD(INT(I$5/4),2)*INT(Bang_Tra_Cuu!$K$10/2)+MOD(INT(I$5/8),2)*INT(Bang_Tra_Cuu!$L$10/2),2)*2+MOD(MOD(I$5,2)*INT(Bang_Tra_Cuu!$I$10/4)+MOD(INT(I$5/2),2)*INT(Bang_Tra_Cuu!$J$10/4)+MOD(INT(I$5/4),2)*INT(Bang_Tra_Cuu!$K$10/4)+MOD(INT(I$5/8),2)*INT(Bang_Tra_Cuu!$L$10/4),2)*4+MOD(MOD(I$5,2)*INT(Bang_Tra_Cuu!$I$10/8)+MOD(INT(I$5/2),2)*INT(Bang_Tra_Cuu!$J$10/8)+MOD(INT(I$5/4),2)*INT(Bang_Tra_Cuu!$K$10/8)+MOD(INT(I$5/8),2)*INT(Bang_Tra_Cuu!$L$10/8),2)*8</f>
        <v/>
      </c>
      <c r="J11" s="14">
        <f>MOD(MOD(J$5,2)*INT(Bang_Tra_Cuu!$I$10/1)+MOD(INT(J$5/2),2)*INT(Bang_Tra_Cuu!$J$10/1)+MOD(INT(J$5/4),2)*INT(Bang_Tra_Cuu!$K$10/1)+MOD(INT(J$5/8),2)*INT(Bang_Tra_Cuu!$L$10/1),2)*1+MOD(MOD(J$5,2)*INT(Bang_Tra_Cuu!$I$10/2)+MOD(INT(J$5/2),2)*INT(Bang_Tra_Cuu!$J$10/2)+MOD(INT(J$5/4),2)*INT(Bang_Tra_Cuu!$K$10/2)+MOD(INT(J$5/8),2)*INT(Bang_Tra_Cuu!$L$10/2),2)*2+MOD(MOD(J$5,2)*INT(Bang_Tra_Cuu!$I$10/4)+MOD(INT(J$5/2),2)*INT(Bang_Tra_Cuu!$J$10/4)+MOD(INT(J$5/4),2)*INT(Bang_Tra_Cuu!$K$10/4)+MOD(INT(J$5/8),2)*INT(Bang_Tra_Cuu!$L$10/4),2)*4+MOD(MOD(J$5,2)*INT(Bang_Tra_Cuu!$I$10/8)+MOD(INT(J$5/2),2)*INT(Bang_Tra_Cuu!$J$10/8)+MOD(INT(J$5/4),2)*INT(Bang_Tra_Cuu!$K$10/8)+MOD(INT(J$5/8),2)*INT(Bang_Tra_Cuu!$L$10/8),2)*8</f>
        <v/>
      </c>
      <c r="K11" s="17">
        <f>MOD(MOD(K$5,2)*INT(Bang_Tra_Cuu!$I$10/1)+MOD(INT(K$5/2),2)*INT(Bang_Tra_Cuu!$J$10/1)+MOD(INT(K$5/4),2)*INT(Bang_Tra_Cuu!$K$10/1)+MOD(INT(K$5/8),2)*INT(Bang_Tra_Cuu!$L$10/1),2)*1+MOD(MOD(K$5,2)*INT(Bang_Tra_Cuu!$I$10/2)+MOD(INT(K$5/2),2)*INT(Bang_Tra_Cuu!$J$10/2)+MOD(INT(K$5/4),2)*INT(Bang_Tra_Cuu!$K$10/2)+MOD(INT(K$5/8),2)*INT(Bang_Tra_Cuu!$L$10/2),2)*2+MOD(MOD(K$5,2)*INT(Bang_Tra_Cuu!$I$10/4)+MOD(INT(K$5/2),2)*INT(Bang_Tra_Cuu!$J$10/4)+MOD(INT(K$5/4),2)*INT(Bang_Tra_Cuu!$K$10/4)+MOD(INT(K$5/8),2)*INT(Bang_Tra_Cuu!$L$10/4),2)*4+MOD(MOD(K$5,2)*INT(Bang_Tra_Cuu!$I$10/8)+MOD(INT(K$5/2),2)*INT(Bang_Tra_Cuu!$J$10/8)+MOD(INT(K$5/4),2)*INT(Bang_Tra_Cuu!$K$10/8)+MOD(INT(K$5/8),2)*INT(Bang_Tra_Cuu!$L$10/8),2)*8</f>
        <v/>
      </c>
      <c r="L11" s="14">
        <f>MOD(MOD(L$5,2)*INT(Bang_Tra_Cuu!$I$10/1)+MOD(INT(L$5/2),2)*INT(Bang_Tra_Cuu!$J$10/1)+MOD(INT(L$5/4),2)*INT(Bang_Tra_Cuu!$K$10/1)+MOD(INT(L$5/8),2)*INT(Bang_Tra_Cuu!$L$10/1),2)*1+MOD(MOD(L$5,2)*INT(Bang_Tra_Cuu!$I$10/2)+MOD(INT(L$5/2),2)*INT(Bang_Tra_Cuu!$J$10/2)+MOD(INT(L$5/4),2)*INT(Bang_Tra_Cuu!$K$10/2)+MOD(INT(L$5/8),2)*INT(Bang_Tra_Cuu!$L$10/2),2)*2+MOD(MOD(L$5,2)*INT(Bang_Tra_Cuu!$I$10/4)+MOD(INT(L$5/2),2)*INT(Bang_Tra_Cuu!$J$10/4)+MOD(INT(L$5/4),2)*INT(Bang_Tra_Cuu!$K$10/4)+MOD(INT(L$5/8),2)*INT(Bang_Tra_Cuu!$L$10/4),2)*4+MOD(MOD(L$5,2)*INT(Bang_Tra_Cuu!$I$10/8)+MOD(INT(L$5/2),2)*INT(Bang_Tra_Cuu!$J$10/8)+MOD(INT(L$5/4),2)*INT(Bang_Tra_Cuu!$K$10/8)+MOD(INT(L$5/8),2)*INT(Bang_Tra_Cuu!$L$10/8),2)*8</f>
        <v/>
      </c>
      <c r="M11" s="17">
        <f>MOD(MOD(M$5,2)*INT(Bang_Tra_Cuu!$I$10/1)+MOD(INT(M$5/2),2)*INT(Bang_Tra_Cuu!$J$10/1)+MOD(INT(M$5/4),2)*INT(Bang_Tra_Cuu!$K$10/1)+MOD(INT(M$5/8),2)*INT(Bang_Tra_Cuu!$L$10/1),2)*1+MOD(MOD(M$5,2)*INT(Bang_Tra_Cuu!$I$10/2)+MOD(INT(M$5/2),2)*INT(Bang_Tra_Cuu!$J$10/2)+MOD(INT(M$5/4),2)*INT(Bang_Tra_Cuu!$K$10/2)+MOD(INT(M$5/8),2)*INT(Bang_Tra_Cuu!$L$10/2),2)*2+MOD(MOD(M$5,2)*INT(Bang_Tra_Cuu!$I$10/4)+MOD(INT(M$5/2),2)*INT(Bang_Tra_Cuu!$J$10/4)+MOD(INT(M$5/4),2)*INT(Bang_Tra_Cuu!$K$10/4)+MOD(INT(M$5/8),2)*INT(Bang_Tra_Cuu!$L$10/4),2)*4+MOD(MOD(M$5,2)*INT(Bang_Tra_Cuu!$I$10/8)+MOD(INT(M$5/2),2)*INT(Bang_Tra_Cuu!$J$10/8)+MOD(INT(M$5/4),2)*INT(Bang_Tra_Cuu!$K$10/8)+MOD(INT(M$5/8),2)*INT(Bang_Tra_Cuu!$L$10/8),2)*8</f>
        <v/>
      </c>
      <c r="N11" s="14">
        <f>MOD(MOD(N$5,2)*INT(Bang_Tra_Cuu!$I$10/1)+MOD(INT(N$5/2),2)*INT(Bang_Tra_Cuu!$J$10/1)+MOD(INT(N$5/4),2)*INT(Bang_Tra_Cuu!$K$10/1)+MOD(INT(N$5/8),2)*INT(Bang_Tra_Cuu!$L$10/1),2)*1+MOD(MOD(N$5,2)*INT(Bang_Tra_Cuu!$I$10/2)+MOD(INT(N$5/2),2)*INT(Bang_Tra_Cuu!$J$10/2)+MOD(INT(N$5/4),2)*INT(Bang_Tra_Cuu!$K$10/2)+MOD(INT(N$5/8),2)*INT(Bang_Tra_Cuu!$L$10/2),2)*2+MOD(MOD(N$5,2)*INT(Bang_Tra_Cuu!$I$10/4)+MOD(INT(N$5/2),2)*INT(Bang_Tra_Cuu!$J$10/4)+MOD(INT(N$5/4),2)*INT(Bang_Tra_Cuu!$K$10/4)+MOD(INT(N$5/8),2)*INT(Bang_Tra_Cuu!$L$10/4),2)*4+MOD(MOD(N$5,2)*INT(Bang_Tra_Cuu!$I$10/8)+MOD(INT(N$5/2),2)*INT(Bang_Tra_Cuu!$J$10/8)+MOD(INT(N$5/4),2)*INT(Bang_Tra_Cuu!$K$10/8)+MOD(INT(N$5/8),2)*INT(Bang_Tra_Cuu!$L$10/8),2)*8</f>
        <v/>
      </c>
      <c r="O11" s="17">
        <f>MOD(MOD(O$5,2)*INT(Bang_Tra_Cuu!$I$10/1)+MOD(INT(O$5/2),2)*INT(Bang_Tra_Cuu!$J$10/1)+MOD(INT(O$5/4),2)*INT(Bang_Tra_Cuu!$K$10/1)+MOD(INT(O$5/8),2)*INT(Bang_Tra_Cuu!$L$10/1),2)*1+MOD(MOD(O$5,2)*INT(Bang_Tra_Cuu!$I$10/2)+MOD(INT(O$5/2),2)*INT(Bang_Tra_Cuu!$J$10/2)+MOD(INT(O$5/4),2)*INT(Bang_Tra_Cuu!$K$10/2)+MOD(INT(O$5/8),2)*INT(Bang_Tra_Cuu!$L$10/2),2)*2+MOD(MOD(O$5,2)*INT(Bang_Tra_Cuu!$I$10/4)+MOD(INT(O$5/2),2)*INT(Bang_Tra_Cuu!$J$10/4)+MOD(INT(O$5/4),2)*INT(Bang_Tra_Cuu!$K$10/4)+MOD(INT(O$5/8),2)*INT(Bang_Tra_Cuu!$L$10/4),2)*4+MOD(MOD(O$5,2)*INT(Bang_Tra_Cuu!$I$10/8)+MOD(INT(O$5/2),2)*INT(Bang_Tra_Cuu!$J$10/8)+MOD(INT(O$5/4),2)*INT(Bang_Tra_Cuu!$K$10/8)+MOD(INT(O$5/8),2)*INT(Bang_Tra_Cuu!$L$10/8),2)*8</f>
        <v/>
      </c>
      <c r="P11" s="14">
        <f>MOD(MOD(P$5,2)*INT(Bang_Tra_Cuu!$I$10/1)+MOD(INT(P$5/2),2)*INT(Bang_Tra_Cuu!$J$10/1)+MOD(INT(P$5/4),2)*INT(Bang_Tra_Cuu!$K$10/1)+MOD(INT(P$5/8),2)*INT(Bang_Tra_Cuu!$L$10/1),2)*1+MOD(MOD(P$5,2)*INT(Bang_Tra_Cuu!$I$10/2)+MOD(INT(P$5/2),2)*INT(Bang_Tra_Cuu!$J$10/2)+MOD(INT(P$5/4),2)*INT(Bang_Tra_Cuu!$K$10/2)+MOD(INT(P$5/8),2)*INT(Bang_Tra_Cuu!$L$10/2),2)*2+MOD(MOD(P$5,2)*INT(Bang_Tra_Cuu!$I$10/4)+MOD(INT(P$5/2),2)*INT(Bang_Tra_Cuu!$J$10/4)+MOD(INT(P$5/4),2)*INT(Bang_Tra_Cuu!$K$10/4)+MOD(INT(P$5/8),2)*INT(Bang_Tra_Cuu!$L$10/4),2)*4+MOD(MOD(P$5,2)*INT(Bang_Tra_Cuu!$I$10/8)+MOD(INT(P$5/2),2)*INT(Bang_Tra_Cuu!$J$10/8)+MOD(INT(P$5/4),2)*INT(Bang_Tra_Cuu!$K$10/8)+MOD(INT(P$5/8),2)*INT(Bang_Tra_Cuu!$L$10/8),2)*8</f>
        <v/>
      </c>
      <c r="Q11" s="17">
        <f>MOD(MOD(Q$5,2)*INT(Bang_Tra_Cuu!$I$10/1)+MOD(INT(Q$5/2),2)*INT(Bang_Tra_Cuu!$J$10/1)+MOD(INT(Q$5/4),2)*INT(Bang_Tra_Cuu!$K$10/1)+MOD(INT(Q$5/8),2)*INT(Bang_Tra_Cuu!$L$10/1),2)*1+MOD(MOD(Q$5,2)*INT(Bang_Tra_Cuu!$I$10/2)+MOD(INT(Q$5/2),2)*INT(Bang_Tra_Cuu!$J$10/2)+MOD(INT(Q$5/4),2)*INT(Bang_Tra_Cuu!$K$10/2)+MOD(INT(Q$5/8),2)*INT(Bang_Tra_Cuu!$L$10/2),2)*2+MOD(MOD(Q$5,2)*INT(Bang_Tra_Cuu!$I$10/4)+MOD(INT(Q$5/2),2)*INT(Bang_Tra_Cuu!$J$10/4)+MOD(INT(Q$5/4),2)*INT(Bang_Tra_Cuu!$K$10/4)+MOD(INT(Q$5/8),2)*INT(Bang_Tra_Cuu!$L$10/4),2)*4+MOD(MOD(Q$5,2)*INT(Bang_Tra_Cuu!$I$10/8)+MOD(INT(Q$5/2),2)*INT(Bang_Tra_Cuu!$J$10/8)+MOD(INT(Q$5/4),2)*INT(Bang_Tra_Cuu!$K$10/8)+MOD(INT(Q$5/8),2)*INT(Bang_Tra_Cuu!$L$10/8),2)*8</f>
        <v/>
      </c>
      <c r="R11" s="14">
        <f>MOD(MOD(R$5,2)*INT(Bang_Tra_Cuu!$I$10/1)+MOD(INT(R$5/2),2)*INT(Bang_Tra_Cuu!$J$10/1)+MOD(INT(R$5/4),2)*INT(Bang_Tra_Cuu!$K$10/1)+MOD(INT(R$5/8),2)*INT(Bang_Tra_Cuu!$L$10/1),2)*1+MOD(MOD(R$5,2)*INT(Bang_Tra_Cuu!$I$10/2)+MOD(INT(R$5/2),2)*INT(Bang_Tra_Cuu!$J$10/2)+MOD(INT(R$5/4),2)*INT(Bang_Tra_Cuu!$K$10/2)+MOD(INT(R$5/8),2)*INT(Bang_Tra_Cuu!$L$10/2),2)*2+MOD(MOD(R$5,2)*INT(Bang_Tra_Cuu!$I$10/4)+MOD(INT(R$5/2),2)*INT(Bang_Tra_Cuu!$J$10/4)+MOD(INT(R$5/4),2)*INT(Bang_Tra_Cuu!$K$10/4)+MOD(INT(R$5/8),2)*INT(Bang_Tra_Cuu!$L$10/4),2)*4+MOD(MOD(R$5,2)*INT(Bang_Tra_Cuu!$I$10/8)+MOD(INT(R$5/2),2)*INT(Bang_Tra_Cuu!$J$10/8)+MOD(INT(R$5/4),2)*INT(Bang_Tra_Cuu!$K$10/8)+MOD(INT(R$5/8),2)*INT(Bang_Tra_Cuu!$L$10/8),2)*8</f>
        <v/>
      </c>
      <c r="T11" s="17" t="n">
        <v>5</v>
      </c>
      <c r="U11" s="19" t="inlineStr">
        <is>
          <t>x^2 + 1</t>
        </is>
      </c>
      <c r="V11" s="17">
        <f>COUNTIF($C$6:$R$21, T11)</f>
        <v/>
      </c>
      <c r="W11" s="17">
        <f>COUNTIF($D$7:$R$21, T11)</f>
        <v/>
      </c>
    </row>
    <row r="12" ht="20" customHeight="1">
      <c r="A12" s="30" t="n">
        <v>6</v>
      </c>
      <c r="B12" s="31" t="inlineStr">
        <is>
          <t>x^2 + x</t>
        </is>
      </c>
      <c r="C12" s="14">
        <f>MOD(MOD(C$5,2)*INT(Bang_Tra_Cuu!$I$11/1)+MOD(INT(C$5/2),2)*INT(Bang_Tra_Cuu!$J$11/1)+MOD(INT(C$5/4),2)*INT(Bang_Tra_Cuu!$K$11/1)+MOD(INT(C$5/8),2)*INT(Bang_Tra_Cuu!$L$11/1),2)*1+MOD(MOD(C$5,2)*INT(Bang_Tra_Cuu!$I$11/2)+MOD(INT(C$5/2),2)*INT(Bang_Tra_Cuu!$J$11/2)+MOD(INT(C$5/4),2)*INT(Bang_Tra_Cuu!$K$11/2)+MOD(INT(C$5/8),2)*INT(Bang_Tra_Cuu!$L$11/2),2)*2+MOD(MOD(C$5,2)*INT(Bang_Tra_Cuu!$I$11/4)+MOD(INT(C$5/2),2)*INT(Bang_Tra_Cuu!$J$11/4)+MOD(INT(C$5/4),2)*INT(Bang_Tra_Cuu!$K$11/4)+MOD(INT(C$5/8),2)*INT(Bang_Tra_Cuu!$L$11/4),2)*4+MOD(MOD(C$5,2)*INT(Bang_Tra_Cuu!$I$11/8)+MOD(INT(C$5/2),2)*INT(Bang_Tra_Cuu!$J$11/8)+MOD(INT(C$5/4),2)*INT(Bang_Tra_Cuu!$K$11/8)+MOD(INT(C$5/8),2)*INT(Bang_Tra_Cuu!$L$11/8),2)*8</f>
        <v/>
      </c>
      <c r="D12" s="17">
        <f>MOD(MOD(D$5,2)*INT(Bang_Tra_Cuu!$I$11/1)+MOD(INT(D$5/2),2)*INT(Bang_Tra_Cuu!$J$11/1)+MOD(INT(D$5/4),2)*INT(Bang_Tra_Cuu!$K$11/1)+MOD(INT(D$5/8),2)*INT(Bang_Tra_Cuu!$L$11/1),2)*1+MOD(MOD(D$5,2)*INT(Bang_Tra_Cuu!$I$11/2)+MOD(INT(D$5/2),2)*INT(Bang_Tra_Cuu!$J$11/2)+MOD(INT(D$5/4),2)*INT(Bang_Tra_Cuu!$K$11/2)+MOD(INT(D$5/8),2)*INT(Bang_Tra_Cuu!$L$11/2),2)*2+MOD(MOD(D$5,2)*INT(Bang_Tra_Cuu!$I$11/4)+MOD(INT(D$5/2),2)*INT(Bang_Tra_Cuu!$J$11/4)+MOD(INT(D$5/4),2)*INT(Bang_Tra_Cuu!$K$11/4)+MOD(INT(D$5/8),2)*INT(Bang_Tra_Cuu!$L$11/4),2)*4+MOD(MOD(D$5,2)*INT(Bang_Tra_Cuu!$I$11/8)+MOD(INT(D$5/2),2)*INT(Bang_Tra_Cuu!$J$11/8)+MOD(INT(D$5/4),2)*INT(Bang_Tra_Cuu!$K$11/8)+MOD(INT(D$5/8),2)*INT(Bang_Tra_Cuu!$L$11/8),2)*8</f>
        <v/>
      </c>
      <c r="E12" s="14">
        <f>MOD(MOD(E$5,2)*INT(Bang_Tra_Cuu!$I$11/1)+MOD(INT(E$5/2),2)*INT(Bang_Tra_Cuu!$J$11/1)+MOD(INT(E$5/4),2)*INT(Bang_Tra_Cuu!$K$11/1)+MOD(INT(E$5/8),2)*INT(Bang_Tra_Cuu!$L$11/1),2)*1+MOD(MOD(E$5,2)*INT(Bang_Tra_Cuu!$I$11/2)+MOD(INT(E$5/2),2)*INT(Bang_Tra_Cuu!$J$11/2)+MOD(INT(E$5/4),2)*INT(Bang_Tra_Cuu!$K$11/2)+MOD(INT(E$5/8),2)*INT(Bang_Tra_Cuu!$L$11/2),2)*2+MOD(MOD(E$5,2)*INT(Bang_Tra_Cuu!$I$11/4)+MOD(INT(E$5/2),2)*INT(Bang_Tra_Cuu!$J$11/4)+MOD(INT(E$5/4),2)*INT(Bang_Tra_Cuu!$K$11/4)+MOD(INT(E$5/8),2)*INT(Bang_Tra_Cuu!$L$11/4),2)*4+MOD(MOD(E$5,2)*INT(Bang_Tra_Cuu!$I$11/8)+MOD(INT(E$5/2),2)*INT(Bang_Tra_Cuu!$J$11/8)+MOD(INT(E$5/4),2)*INT(Bang_Tra_Cuu!$K$11/8)+MOD(INT(E$5/8),2)*INT(Bang_Tra_Cuu!$L$11/8),2)*8</f>
        <v/>
      </c>
      <c r="F12" s="17">
        <f>MOD(MOD(F$5,2)*INT(Bang_Tra_Cuu!$I$11/1)+MOD(INT(F$5/2),2)*INT(Bang_Tra_Cuu!$J$11/1)+MOD(INT(F$5/4),2)*INT(Bang_Tra_Cuu!$K$11/1)+MOD(INT(F$5/8),2)*INT(Bang_Tra_Cuu!$L$11/1),2)*1+MOD(MOD(F$5,2)*INT(Bang_Tra_Cuu!$I$11/2)+MOD(INT(F$5/2),2)*INT(Bang_Tra_Cuu!$J$11/2)+MOD(INT(F$5/4),2)*INT(Bang_Tra_Cuu!$K$11/2)+MOD(INT(F$5/8),2)*INT(Bang_Tra_Cuu!$L$11/2),2)*2+MOD(MOD(F$5,2)*INT(Bang_Tra_Cuu!$I$11/4)+MOD(INT(F$5/2),2)*INT(Bang_Tra_Cuu!$J$11/4)+MOD(INT(F$5/4),2)*INT(Bang_Tra_Cuu!$K$11/4)+MOD(INT(F$5/8),2)*INT(Bang_Tra_Cuu!$L$11/4),2)*4+MOD(MOD(F$5,2)*INT(Bang_Tra_Cuu!$I$11/8)+MOD(INT(F$5/2),2)*INT(Bang_Tra_Cuu!$J$11/8)+MOD(INT(F$5/4),2)*INT(Bang_Tra_Cuu!$K$11/8)+MOD(INT(F$5/8),2)*INT(Bang_Tra_Cuu!$L$11/8),2)*8</f>
        <v/>
      </c>
      <c r="G12" s="14">
        <f>MOD(MOD(G$5,2)*INT(Bang_Tra_Cuu!$I$11/1)+MOD(INT(G$5/2),2)*INT(Bang_Tra_Cuu!$J$11/1)+MOD(INT(G$5/4),2)*INT(Bang_Tra_Cuu!$K$11/1)+MOD(INT(G$5/8),2)*INT(Bang_Tra_Cuu!$L$11/1),2)*1+MOD(MOD(G$5,2)*INT(Bang_Tra_Cuu!$I$11/2)+MOD(INT(G$5/2),2)*INT(Bang_Tra_Cuu!$J$11/2)+MOD(INT(G$5/4),2)*INT(Bang_Tra_Cuu!$K$11/2)+MOD(INT(G$5/8),2)*INT(Bang_Tra_Cuu!$L$11/2),2)*2+MOD(MOD(G$5,2)*INT(Bang_Tra_Cuu!$I$11/4)+MOD(INT(G$5/2),2)*INT(Bang_Tra_Cuu!$J$11/4)+MOD(INT(G$5/4),2)*INT(Bang_Tra_Cuu!$K$11/4)+MOD(INT(G$5/8),2)*INT(Bang_Tra_Cuu!$L$11/4),2)*4+MOD(MOD(G$5,2)*INT(Bang_Tra_Cuu!$I$11/8)+MOD(INT(G$5/2),2)*INT(Bang_Tra_Cuu!$J$11/8)+MOD(INT(G$5/4),2)*INT(Bang_Tra_Cuu!$K$11/8)+MOD(INT(G$5/8),2)*INT(Bang_Tra_Cuu!$L$11/8),2)*8</f>
        <v/>
      </c>
      <c r="H12" s="17">
        <f>MOD(MOD(H$5,2)*INT(Bang_Tra_Cuu!$I$11/1)+MOD(INT(H$5/2),2)*INT(Bang_Tra_Cuu!$J$11/1)+MOD(INT(H$5/4),2)*INT(Bang_Tra_Cuu!$K$11/1)+MOD(INT(H$5/8),2)*INT(Bang_Tra_Cuu!$L$11/1),2)*1+MOD(MOD(H$5,2)*INT(Bang_Tra_Cuu!$I$11/2)+MOD(INT(H$5/2),2)*INT(Bang_Tra_Cuu!$J$11/2)+MOD(INT(H$5/4),2)*INT(Bang_Tra_Cuu!$K$11/2)+MOD(INT(H$5/8),2)*INT(Bang_Tra_Cuu!$L$11/2),2)*2+MOD(MOD(H$5,2)*INT(Bang_Tra_Cuu!$I$11/4)+MOD(INT(H$5/2),2)*INT(Bang_Tra_Cuu!$J$11/4)+MOD(INT(H$5/4),2)*INT(Bang_Tra_Cuu!$K$11/4)+MOD(INT(H$5/8),2)*INT(Bang_Tra_Cuu!$L$11/4),2)*4+MOD(MOD(H$5,2)*INT(Bang_Tra_Cuu!$I$11/8)+MOD(INT(H$5/2),2)*INT(Bang_Tra_Cuu!$J$11/8)+MOD(INT(H$5/4),2)*INT(Bang_Tra_Cuu!$K$11/8)+MOD(INT(H$5/8),2)*INT(Bang_Tra_Cuu!$L$11/8),2)*8</f>
        <v/>
      </c>
      <c r="I12" s="14">
        <f>MOD(MOD(I$5,2)*INT(Bang_Tra_Cuu!$I$11/1)+MOD(INT(I$5/2),2)*INT(Bang_Tra_Cuu!$J$11/1)+MOD(INT(I$5/4),2)*INT(Bang_Tra_Cuu!$K$11/1)+MOD(INT(I$5/8),2)*INT(Bang_Tra_Cuu!$L$11/1),2)*1+MOD(MOD(I$5,2)*INT(Bang_Tra_Cuu!$I$11/2)+MOD(INT(I$5/2),2)*INT(Bang_Tra_Cuu!$J$11/2)+MOD(INT(I$5/4),2)*INT(Bang_Tra_Cuu!$K$11/2)+MOD(INT(I$5/8),2)*INT(Bang_Tra_Cuu!$L$11/2),2)*2+MOD(MOD(I$5,2)*INT(Bang_Tra_Cuu!$I$11/4)+MOD(INT(I$5/2),2)*INT(Bang_Tra_Cuu!$J$11/4)+MOD(INT(I$5/4),2)*INT(Bang_Tra_Cuu!$K$11/4)+MOD(INT(I$5/8),2)*INT(Bang_Tra_Cuu!$L$11/4),2)*4+MOD(MOD(I$5,2)*INT(Bang_Tra_Cuu!$I$11/8)+MOD(INT(I$5/2),2)*INT(Bang_Tra_Cuu!$J$11/8)+MOD(INT(I$5/4),2)*INT(Bang_Tra_Cuu!$K$11/8)+MOD(INT(I$5/8),2)*INT(Bang_Tra_Cuu!$L$11/8),2)*8</f>
        <v/>
      </c>
      <c r="J12" s="17">
        <f>MOD(MOD(J$5,2)*INT(Bang_Tra_Cuu!$I$11/1)+MOD(INT(J$5/2),2)*INT(Bang_Tra_Cuu!$J$11/1)+MOD(INT(J$5/4),2)*INT(Bang_Tra_Cuu!$K$11/1)+MOD(INT(J$5/8),2)*INT(Bang_Tra_Cuu!$L$11/1),2)*1+MOD(MOD(J$5,2)*INT(Bang_Tra_Cuu!$I$11/2)+MOD(INT(J$5/2),2)*INT(Bang_Tra_Cuu!$J$11/2)+MOD(INT(J$5/4),2)*INT(Bang_Tra_Cuu!$K$11/2)+MOD(INT(J$5/8),2)*INT(Bang_Tra_Cuu!$L$11/2),2)*2+MOD(MOD(J$5,2)*INT(Bang_Tra_Cuu!$I$11/4)+MOD(INT(J$5/2),2)*INT(Bang_Tra_Cuu!$J$11/4)+MOD(INT(J$5/4),2)*INT(Bang_Tra_Cuu!$K$11/4)+MOD(INT(J$5/8),2)*INT(Bang_Tra_Cuu!$L$11/4),2)*4+MOD(MOD(J$5,2)*INT(Bang_Tra_Cuu!$I$11/8)+MOD(INT(J$5/2),2)*INT(Bang_Tra_Cuu!$J$11/8)+MOD(INT(J$5/4),2)*INT(Bang_Tra_Cuu!$K$11/8)+MOD(INT(J$5/8),2)*INT(Bang_Tra_Cuu!$L$11/8),2)*8</f>
        <v/>
      </c>
      <c r="K12" s="14">
        <f>MOD(MOD(K$5,2)*INT(Bang_Tra_Cuu!$I$11/1)+MOD(INT(K$5/2),2)*INT(Bang_Tra_Cuu!$J$11/1)+MOD(INT(K$5/4),2)*INT(Bang_Tra_Cuu!$K$11/1)+MOD(INT(K$5/8),2)*INT(Bang_Tra_Cuu!$L$11/1),2)*1+MOD(MOD(K$5,2)*INT(Bang_Tra_Cuu!$I$11/2)+MOD(INT(K$5/2),2)*INT(Bang_Tra_Cuu!$J$11/2)+MOD(INT(K$5/4),2)*INT(Bang_Tra_Cuu!$K$11/2)+MOD(INT(K$5/8),2)*INT(Bang_Tra_Cuu!$L$11/2),2)*2+MOD(MOD(K$5,2)*INT(Bang_Tra_Cuu!$I$11/4)+MOD(INT(K$5/2),2)*INT(Bang_Tra_Cuu!$J$11/4)+MOD(INT(K$5/4),2)*INT(Bang_Tra_Cuu!$K$11/4)+MOD(INT(K$5/8),2)*INT(Bang_Tra_Cuu!$L$11/4),2)*4+MOD(MOD(K$5,2)*INT(Bang_Tra_Cuu!$I$11/8)+MOD(INT(K$5/2),2)*INT(Bang_Tra_Cuu!$J$11/8)+MOD(INT(K$5/4),2)*INT(Bang_Tra_Cuu!$K$11/8)+MOD(INT(K$5/8),2)*INT(Bang_Tra_Cuu!$L$11/8),2)*8</f>
        <v/>
      </c>
      <c r="L12" s="17">
        <f>MOD(MOD(L$5,2)*INT(Bang_Tra_Cuu!$I$11/1)+MOD(INT(L$5/2),2)*INT(Bang_Tra_Cuu!$J$11/1)+MOD(INT(L$5/4),2)*INT(Bang_Tra_Cuu!$K$11/1)+MOD(INT(L$5/8),2)*INT(Bang_Tra_Cuu!$L$11/1),2)*1+MOD(MOD(L$5,2)*INT(Bang_Tra_Cuu!$I$11/2)+MOD(INT(L$5/2),2)*INT(Bang_Tra_Cuu!$J$11/2)+MOD(INT(L$5/4),2)*INT(Bang_Tra_Cuu!$K$11/2)+MOD(INT(L$5/8),2)*INT(Bang_Tra_Cuu!$L$11/2),2)*2+MOD(MOD(L$5,2)*INT(Bang_Tra_Cuu!$I$11/4)+MOD(INT(L$5/2),2)*INT(Bang_Tra_Cuu!$J$11/4)+MOD(INT(L$5/4),2)*INT(Bang_Tra_Cuu!$K$11/4)+MOD(INT(L$5/8),2)*INT(Bang_Tra_Cuu!$L$11/4),2)*4+MOD(MOD(L$5,2)*INT(Bang_Tra_Cuu!$I$11/8)+MOD(INT(L$5/2),2)*INT(Bang_Tra_Cuu!$J$11/8)+MOD(INT(L$5/4),2)*INT(Bang_Tra_Cuu!$K$11/8)+MOD(INT(L$5/8),2)*INT(Bang_Tra_Cuu!$L$11/8),2)*8</f>
        <v/>
      </c>
      <c r="M12" s="14">
        <f>MOD(MOD(M$5,2)*INT(Bang_Tra_Cuu!$I$11/1)+MOD(INT(M$5/2),2)*INT(Bang_Tra_Cuu!$J$11/1)+MOD(INT(M$5/4),2)*INT(Bang_Tra_Cuu!$K$11/1)+MOD(INT(M$5/8),2)*INT(Bang_Tra_Cuu!$L$11/1),2)*1+MOD(MOD(M$5,2)*INT(Bang_Tra_Cuu!$I$11/2)+MOD(INT(M$5/2),2)*INT(Bang_Tra_Cuu!$J$11/2)+MOD(INT(M$5/4),2)*INT(Bang_Tra_Cuu!$K$11/2)+MOD(INT(M$5/8),2)*INT(Bang_Tra_Cuu!$L$11/2),2)*2+MOD(MOD(M$5,2)*INT(Bang_Tra_Cuu!$I$11/4)+MOD(INT(M$5/2),2)*INT(Bang_Tra_Cuu!$J$11/4)+MOD(INT(M$5/4),2)*INT(Bang_Tra_Cuu!$K$11/4)+MOD(INT(M$5/8),2)*INT(Bang_Tra_Cuu!$L$11/4),2)*4+MOD(MOD(M$5,2)*INT(Bang_Tra_Cuu!$I$11/8)+MOD(INT(M$5/2),2)*INT(Bang_Tra_Cuu!$J$11/8)+MOD(INT(M$5/4),2)*INT(Bang_Tra_Cuu!$K$11/8)+MOD(INT(M$5/8),2)*INT(Bang_Tra_Cuu!$L$11/8),2)*8</f>
        <v/>
      </c>
      <c r="N12" s="17">
        <f>MOD(MOD(N$5,2)*INT(Bang_Tra_Cuu!$I$11/1)+MOD(INT(N$5/2),2)*INT(Bang_Tra_Cuu!$J$11/1)+MOD(INT(N$5/4),2)*INT(Bang_Tra_Cuu!$K$11/1)+MOD(INT(N$5/8),2)*INT(Bang_Tra_Cuu!$L$11/1),2)*1+MOD(MOD(N$5,2)*INT(Bang_Tra_Cuu!$I$11/2)+MOD(INT(N$5/2),2)*INT(Bang_Tra_Cuu!$J$11/2)+MOD(INT(N$5/4),2)*INT(Bang_Tra_Cuu!$K$11/2)+MOD(INT(N$5/8),2)*INT(Bang_Tra_Cuu!$L$11/2),2)*2+MOD(MOD(N$5,2)*INT(Bang_Tra_Cuu!$I$11/4)+MOD(INT(N$5/2),2)*INT(Bang_Tra_Cuu!$J$11/4)+MOD(INT(N$5/4),2)*INT(Bang_Tra_Cuu!$K$11/4)+MOD(INT(N$5/8),2)*INT(Bang_Tra_Cuu!$L$11/4),2)*4+MOD(MOD(N$5,2)*INT(Bang_Tra_Cuu!$I$11/8)+MOD(INT(N$5/2),2)*INT(Bang_Tra_Cuu!$J$11/8)+MOD(INT(N$5/4),2)*INT(Bang_Tra_Cuu!$K$11/8)+MOD(INT(N$5/8),2)*INT(Bang_Tra_Cuu!$L$11/8),2)*8</f>
        <v/>
      </c>
      <c r="O12" s="14">
        <f>MOD(MOD(O$5,2)*INT(Bang_Tra_Cuu!$I$11/1)+MOD(INT(O$5/2),2)*INT(Bang_Tra_Cuu!$J$11/1)+MOD(INT(O$5/4),2)*INT(Bang_Tra_Cuu!$K$11/1)+MOD(INT(O$5/8),2)*INT(Bang_Tra_Cuu!$L$11/1),2)*1+MOD(MOD(O$5,2)*INT(Bang_Tra_Cuu!$I$11/2)+MOD(INT(O$5/2),2)*INT(Bang_Tra_Cuu!$J$11/2)+MOD(INT(O$5/4),2)*INT(Bang_Tra_Cuu!$K$11/2)+MOD(INT(O$5/8),2)*INT(Bang_Tra_Cuu!$L$11/2),2)*2+MOD(MOD(O$5,2)*INT(Bang_Tra_Cuu!$I$11/4)+MOD(INT(O$5/2),2)*INT(Bang_Tra_Cuu!$J$11/4)+MOD(INT(O$5/4),2)*INT(Bang_Tra_Cuu!$K$11/4)+MOD(INT(O$5/8),2)*INT(Bang_Tra_Cuu!$L$11/4),2)*4+MOD(MOD(O$5,2)*INT(Bang_Tra_Cuu!$I$11/8)+MOD(INT(O$5/2),2)*INT(Bang_Tra_Cuu!$J$11/8)+MOD(INT(O$5/4),2)*INT(Bang_Tra_Cuu!$K$11/8)+MOD(INT(O$5/8),2)*INT(Bang_Tra_Cuu!$L$11/8),2)*8</f>
        <v/>
      </c>
      <c r="P12" s="17">
        <f>MOD(MOD(P$5,2)*INT(Bang_Tra_Cuu!$I$11/1)+MOD(INT(P$5/2),2)*INT(Bang_Tra_Cuu!$J$11/1)+MOD(INT(P$5/4),2)*INT(Bang_Tra_Cuu!$K$11/1)+MOD(INT(P$5/8),2)*INT(Bang_Tra_Cuu!$L$11/1),2)*1+MOD(MOD(P$5,2)*INT(Bang_Tra_Cuu!$I$11/2)+MOD(INT(P$5/2),2)*INT(Bang_Tra_Cuu!$J$11/2)+MOD(INT(P$5/4),2)*INT(Bang_Tra_Cuu!$K$11/2)+MOD(INT(P$5/8),2)*INT(Bang_Tra_Cuu!$L$11/2),2)*2+MOD(MOD(P$5,2)*INT(Bang_Tra_Cuu!$I$11/4)+MOD(INT(P$5/2),2)*INT(Bang_Tra_Cuu!$J$11/4)+MOD(INT(P$5/4),2)*INT(Bang_Tra_Cuu!$K$11/4)+MOD(INT(P$5/8),2)*INT(Bang_Tra_Cuu!$L$11/4),2)*4+MOD(MOD(P$5,2)*INT(Bang_Tra_Cuu!$I$11/8)+MOD(INT(P$5/2),2)*INT(Bang_Tra_Cuu!$J$11/8)+MOD(INT(P$5/4),2)*INT(Bang_Tra_Cuu!$K$11/8)+MOD(INT(P$5/8),2)*INT(Bang_Tra_Cuu!$L$11/8),2)*8</f>
        <v/>
      </c>
      <c r="Q12" s="14">
        <f>MOD(MOD(Q$5,2)*INT(Bang_Tra_Cuu!$I$11/1)+MOD(INT(Q$5/2),2)*INT(Bang_Tra_Cuu!$J$11/1)+MOD(INT(Q$5/4),2)*INT(Bang_Tra_Cuu!$K$11/1)+MOD(INT(Q$5/8),2)*INT(Bang_Tra_Cuu!$L$11/1),2)*1+MOD(MOD(Q$5,2)*INT(Bang_Tra_Cuu!$I$11/2)+MOD(INT(Q$5/2),2)*INT(Bang_Tra_Cuu!$J$11/2)+MOD(INT(Q$5/4),2)*INT(Bang_Tra_Cuu!$K$11/2)+MOD(INT(Q$5/8),2)*INT(Bang_Tra_Cuu!$L$11/2),2)*2+MOD(MOD(Q$5,2)*INT(Bang_Tra_Cuu!$I$11/4)+MOD(INT(Q$5/2),2)*INT(Bang_Tra_Cuu!$J$11/4)+MOD(INT(Q$5/4),2)*INT(Bang_Tra_Cuu!$K$11/4)+MOD(INT(Q$5/8),2)*INT(Bang_Tra_Cuu!$L$11/4),2)*4+MOD(MOD(Q$5,2)*INT(Bang_Tra_Cuu!$I$11/8)+MOD(INT(Q$5/2),2)*INT(Bang_Tra_Cuu!$J$11/8)+MOD(INT(Q$5/4),2)*INT(Bang_Tra_Cuu!$K$11/8)+MOD(INT(Q$5/8),2)*INT(Bang_Tra_Cuu!$L$11/8),2)*8</f>
        <v/>
      </c>
      <c r="R12" s="17">
        <f>MOD(MOD(R$5,2)*INT(Bang_Tra_Cuu!$I$11/1)+MOD(INT(R$5/2),2)*INT(Bang_Tra_Cuu!$J$11/1)+MOD(INT(R$5/4),2)*INT(Bang_Tra_Cuu!$K$11/1)+MOD(INT(R$5/8),2)*INT(Bang_Tra_Cuu!$L$11/1),2)*1+MOD(MOD(R$5,2)*INT(Bang_Tra_Cuu!$I$11/2)+MOD(INT(R$5/2),2)*INT(Bang_Tra_Cuu!$J$11/2)+MOD(INT(R$5/4),2)*INT(Bang_Tra_Cuu!$K$11/2)+MOD(INT(R$5/8),2)*INT(Bang_Tra_Cuu!$L$11/2),2)*2+MOD(MOD(R$5,2)*INT(Bang_Tra_Cuu!$I$11/4)+MOD(INT(R$5/2),2)*INT(Bang_Tra_Cuu!$J$11/4)+MOD(INT(R$5/4),2)*INT(Bang_Tra_Cuu!$K$11/4)+MOD(INT(R$5/8),2)*INT(Bang_Tra_Cuu!$L$11/4),2)*4+MOD(MOD(R$5,2)*INT(Bang_Tra_Cuu!$I$11/8)+MOD(INT(R$5/2),2)*INT(Bang_Tra_Cuu!$J$11/8)+MOD(INT(R$5/4),2)*INT(Bang_Tra_Cuu!$K$11/8)+MOD(INT(R$5/8),2)*INT(Bang_Tra_Cuu!$L$11/8),2)*8</f>
        <v/>
      </c>
      <c r="T12" s="14" t="n">
        <v>6</v>
      </c>
      <c r="U12" s="6" t="inlineStr">
        <is>
          <t>x^2 + x</t>
        </is>
      </c>
      <c r="V12" s="14">
        <f>COUNTIF($C$6:$R$21, T12)</f>
        <v/>
      </c>
      <c r="W12" s="14">
        <f>COUNTIF($D$7:$R$21, T12)</f>
        <v/>
      </c>
    </row>
    <row r="13" ht="20" customHeight="1">
      <c r="A13" s="30" t="n">
        <v>7</v>
      </c>
      <c r="B13" s="31" t="inlineStr">
        <is>
          <t>x^2 + x + 1</t>
        </is>
      </c>
      <c r="C13" s="17">
        <f>MOD(MOD(C$5,2)*INT(Bang_Tra_Cuu!$I$12/1)+MOD(INT(C$5/2),2)*INT(Bang_Tra_Cuu!$J$12/1)+MOD(INT(C$5/4),2)*INT(Bang_Tra_Cuu!$K$12/1)+MOD(INT(C$5/8),2)*INT(Bang_Tra_Cuu!$L$12/1),2)*1+MOD(MOD(C$5,2)*INT(Bang_Tra_Cuu!$I$12/2)+MOD(INT(C$5/2),2)*INT(Bang_Tra_Cuu!$J$12/2)+MOD(INT(C$5/4),2)*INT(Bang_Tra_Cuu!$K$12/2)+MOD(INT(C$5/8),2)*INT(Bang_Tra_Cuu!$L$12/2),2)*2+MOD(MOD(C$5,2)*INT(Bang_Tra_Cuu!$I$12/4)+MOD(INT(C$5/2),2)*INT(Bang_Tra_Cuu!$J$12/4)+MOD(INT(C$5/4),2)*INT(Bang_Tra_Cuu!$K$12/4)+MOD(INT(C$5/8),2)*INT(Bang_Tra_Cuu!$L$12/4),2)*4+MOD(MOD(C$5,2)*INT(Bang_Tra_Cuu!$I$12/8)+MOD(INT(C$5/2),2)*INT(Bang_Tra_Cuu!$J$12/8)+MOD(INT(C$5/4),2)*INT(Bang_Tra_Cuu!$K$12/8)+MOD(INT(C$5/8),2)*INT(Bang_Tra_Cuu!$L$12/8),2)*8</f>
        <v/>
      </c>
      <c r="D13" s="14">
        <f>MOD(MOD(D$5,2)*INT(Bang_Tra_Cuu!$I$12/1)+MOD(INT(D$5/2),2)*INT(Bang_Tra_Cuu!$J$12/1)+MOD(INT(D$5/4),2)*INT(Bang_Tra_Cuu!$K$12/1)+MOD(INT(D$5/8),2)*INT(Bang_Tra_Cuu!$L$12/1),2)*1+MOD(MOD(D$5,2)*INT(Bang_Tra_Cuu!$I$12/2)+MOD(INT(D$5/2),2)*INT(Bang_Tra_Cuu!$J$12/2)+MOD(INT(D$5/4),2)*INT(Bang_Tra_Cuu!$K$12/2)+MOD(INT(D$5/8),2)*INT(Bang_Tra_Cuu!$L$12/2),2)*2+MOD(MOD(D$5,2)*INT(Bang_Tra_Cuu!$I$12/4)+MOD(INT(D$5/2),2)*INT(Bang_Tra_Cuu!$J$12/4)+MOD(INT(D$5/4),2)*INT(Bang_Tra_Cuu!$K$12/4)+MOD(INT(D$5/8),2)*INT(Bang_Tra_Cuu!$L$12/4),2)*4+MOD(MOD(D$5,2)*INT(Bang_Tra_Cuu!$I$12/8)+MOD(INT(D$5/2),2)*INT(Bang_Tra_Cuu!$J$12/8)+MOD(INT(D$5/4),2)*INT(Bang_Tra_Cuu!$K$12/8)+MOD(INT(D$5/8),2)*INT(Bang_Tra_Cuu!$L$12/8),2)*8</f>
        <v/>
      </c>
      <c r="E13" s="17">
        <f>MOD(MOD(E$5,2)*INT(Bang_Tra_Cuu!$I$12/1)+MOD(INT(E$5/2),2)*INT(Bang_Tra_Cuu!$J$12/1)+MOD(INT(E$5/4),2)*INT(Bang_Tra_Cuu!$K$12/1)+MOD(INT(E$5/8),2)*INT(Bang_Tra_Cuu!$L$12/1),2)*1+MOD(MOD(E$5,2)*INT(Bang_Tra_Cuu!$I$12/2)+MOD(INT(E$5/2),2)*INT(Bang_Tra_Cuu!$J$12/2)+MOD(INT(E$5/4),2)*INT(Bang_Tra_Cuu!$K$12/2)+MOD(INT(E$5/8),2)*INT(Bang_Tra_Cuu!$L$12/2),2)*2+MOD(MOD(E$5,2)*INT(Bang_Tra_Cuu!$I$12/4)+MOD(INT(E$5/2),2)*INT(Bang_Tra_Cuu!$J$12/4)+MOD(INT(E$5/4),2)*INT(Bang_Tra_Cuu!$K$12/4)+MOD(INT(E$5/8),2)*INT(Bang_Tra_Cuu!$L$12/4),2)*4+MOD(MOD(E$5,2)*INT(Bang_Tra_Cuu!$I$12/8)+MOD(INT(E$5/2),2)*INT(Bang_Tra_Cuu!$J$12/8)+MOD(INT(E$5/4),2)*INT(Bang_Tra_Cuu!$K$12/8)+MOD(INT(E$5/8),2)*INT(Bang_Tra_Cuu!$L$12/8),2)*8</f>
        <v/>
      </c>
      <c r="F13" s="14">
        <f>MOD(MOD(F$5,2)*INT(Bang_Tra_Cuu!$I$12/1)+MOD(INT(F$5/2),2)*INT(Bang_Tra_Cuu!$J$12/1)+MOD(INT(F$5/4),2)*INT(Bang_Tra_Cuu!$K$12/1)+MOD(INT(F$5/8),2)*INT(Bang_Tra_Cuu!$L$12/1),2)*1+MOD(MOD(F$5,2)*INT(Bang_Tra_Cuu!$I$12/2)+MOD(INT(F$5/2),2)*INT(Bang_Tra_Cuu!$J$12/2)+MOD(INT(F$5/4),2)*INT(Bang_Tra_Cuu!$K$12/2)+MOD(INT(F$5/8),2)*INT(Bang_Tra_Cuu!$L$12/2),2)*2+MOD(MOD(F$5,2)*INT(Bang_Tra_Cuu!$I$12/4)+MOD(INT(F$5/2),2)*INT(Bang_Tra_Cuu!$J$12/4)+MOD(INT(F$5/4),2)*INT(Bang_Tra_Cuu!$K$12/4)+MOD(INT(F$5/8),2)*INT(Bang_Tra_Cuu!$L$12/4),2)*4+MOD(MOD(F$5,2)*INT(Bang_Tra_Cuu!$I$12/8)+MOD(INT(F$5/2),2)*INT(Bang_Tra_Cuu!$J$12/8)+MOD(INT(F$5/4),2)*INT(Bang_Tra_Cuu!$K$12/8)+MOD(INT(F$5/8),2)*INT(Bang_Tra_Cuu!$L$12/8),2)*8</f>
        <v/>
      </c>
      <c r="G13" s="17">
        <f>MOD(MOD(G$5,2)*INT(Bang_Tra_Cuu!$I$12/1)+MOD(INT(G$5/2),2)*INT(Bang_Tra_Cuu!$J$12/1)+MOD(INT(G$5/4),2)*INT(Bang_Tra_Cuu!$K$12/1)+MOD(INT(G$5/8),2)*INT(Bang_Tra_Cuu!$L$12/1),2)*1+MOD(MOD(G$5,2)*INT(Bang_Tra_Cuu!$I$12/2)+MOD(INT(G$5/2),2)*INT(Bang_Tra_Cuu!$J$12/2)+MOD(INT(G$5/4),2)*INT(Bang_Tra_Cuu!$K$12/2)+MOD(INT(G$5/8),2)*INT(Bang_Tra_Cuu!$L$12/2),2)*2+MOD(MOD(G$5,2)*INT(Bang_Tra_Cuu!$I$12/4)+MOD(INT(G$5/2),2)*INT(Bang_Tra_Cuu!$J$12/4)+MOD(INT(G$5/4),2)*INT(Bang_Tra_Cuu!$K$12/4)+MOD(INT(G$5/8),2)*INT(Bang_Tra_Cuu!$L$12/4),2)*4+MOD(MOD(G$5,2)*INT(Bang_Tra_Cuu!$I$12/8)+MOD(INT(G$5/2),2)*INT(Bang_Tra_Cuu!$J$12/8)+MOD(INT(G$5/4),2)*INT(Bang_Tra_Cuu!$K$12/8)+MOD(INT(G$5/8),2)*INT(Bang_Tra_Cuu!$L$12/8),2)*8</f>
        <v/>
      </c>
      <c r="H13" s="14">
        <f>MOD(MOD(H$5,2)*INT(Bang_Tra_Cuu!$I$12/1)+MOD(INT(H$5/2),2)*INT(Bang_Tra_Cuu!$J$12/1)+MOD(INT(H$5/4),2)*INT(Bang_Tra_Cuu!$K$12/1)+MOD(INT(H$5/8),2)*INT(Bang_Tra_Cuu!$L$12/1),2)*1+MOD(MOD(H$5,2)*INT(Bang_Tra_Cuu!$I$12/2)+MOD(INT(H$5/2),2)*INT(Bang_Tra_Cuu!$J$12/2)+MOD(INT(H$5/4),2)*INT(Bang_Tra_Cuu!$K$12/2)+MOD(INT(H$5/8),2)*INT(Bang_Tra_Cuu!$L$12/2),2)*2+MOD(MOD(H$5,2)*INT(Bang_Tra_Cuu!$I$12/4)+MOD(INT(H$5/2),2)*INT(Bang_Tra_Cuu!$J$12/4)+MOD(INT(H$5/4),2)*INT(Bang_Tra_Cuu!$K$12/4)+MOD(INT(H$5/8),2)*INT(Bang_Tra_Cuu!$L$12/4),2)*4+MOD(MOD(H$5,2)*INT(Bang_Tra_Cuu!$I$12/8)+MOD(INT(H$5/2),2)*INT(Bang_Tra_Cuu!$J$12/8)+MOD(INT(H$5/4),2)*INT(Bang_Tra_Cuu!$K$12/8)+MOD(INT(H$5/8),2)*INT(Bang_Tra_Cuu!$L$12/8),2)*8</f>
        <v/>
      </c>
      <c r="I13" s="17">
        <f>MOD(MOD(I$5,2)*INT(Bang_Tra_Cuu!$I$12/1)+MOD(INT(I$5/2),2)*INT(Bang_Tra_Cuu!$J$12/1)+MOD(INT(I$5/4),2)*INT(Bang_Tra_Cuu!$K$12/1)+MOD(INT(I$5/8),2)*INT(Bang_Tra_Cuu!$L$12/1),2)*1+MOD(MOD(I$5,2)*INT(Bang_Tra_Cuu!$I$12/2)+MOD(INT(I$5/2),2)*INT(Bang_Tra_Cuu!$J$12/2)+MOD(INT(I$5/4),2)*INT(Bang_Tra_Cuu!$K$12/2)+MOD(INT(I$5/8),2)*INT(Bang_Tra_Cuu!$L$12/2),2)*2+MOD(MOD(I$5,2)*INT(Bang_Tra_Cuu!$I$12/4)+MOD(INT(I$5/2),2)*INT(Bang_Tra_Cuu!$J$12/4)+MOD(INT(I$5/4),2)*INT(Bang_Tra_Cuu!$K$12/4)+MOD(INT(I$5/8),2)*INT(Bang_Tra_Cuu!$L$12/4),2)*4+MOD(MOD(I$5,2)*INT(Bang_Tra_Cuu!$I$12/8)+MOD(INT(I$5/2),2)*INT(Bang_Tra_Cuu!$J$12/8)+MOD(INT(I$5/4),2)*INT(Bang_Tra_Cuu!$K$12/8)+MOD(INT(I$5/8),2)*INT(Bang_Tra_Cuu!$L$12/8),2)*8</f>
        <v/>
      </c>
      <c r="J13" s="14">
        <f>MOD(MOD(J$5,2)*INT(Bang_Tra_Cuu!$I$12/1)+MOD(INT(J$5/2),2)*INT(Bang_Tra_Cuu!$J$12/1)+MOD(INT(J$5/4),2)*INT(Bang_Tra_Cuu!$K$12/1)+MOD(INT(J$5/8),2)*INT(Bang_Tra_Cuu!$L$12/1),2)*1+MOD(MOD(J$5,2)*INT(Bang_Tra_Cuu!$I$12/2)+MOD(INT(J$5/2),2)*INT(Bang_Tra_Cuu!$J$12/2)+MOD(INT(J$5/4),2)*INT(Bang_Tra_Cuu!$K$12/2)+MOD(INT(J$5/8),2)*INT(Bang_Tra_Cuu!$L$12/2),2)*2+MOD(MOD(J$5,2)*INT(Bang_Tra_Cuu!$I$12/4)+MOD(INT(J$5/2),2)*INT(Bang_Tra_Cuu!$J$12/4)+MOD(INT(J$5/4),2)*INT(Bang_Tra_Cuu!$K$12/4)+MOD(INT(J$5/8),2)*INT(Bang_Tra_Cuu!$L$12/4),2)*4+MOD(MOD(J$5,2)*INT(Bang_Tra_Cuu!$I$12/8)+MOD(INT(J$5/2),2)*INT(Bang_Tra_Cuu!$J$12/8)+MOD(INT(J$5/4),2)*INT(Bang_Tra_Cuu!$K$12/8)+MOD(INT(J$5/8),2)*INT(Bang_Tra_Cuu!$L$12/8),2)*8</f>
        <v/>
      </c>
      <c r="K13" s="17">
        <f>MOD(MOD(K$5,2)*INT(Bang_Tra_Cuu!$I$12/1)+MOD(INT(K$5/2),2)*INT(Bang_Tra_Cuu!$J$12/1)+MOD(INT(K$5/4),2)*INT(Bang_Tra_Cuu!$K$12/1)+MOD(INT(K$5/8),2)*INT(Bang_Tra_Cuu!$L$12/1),2)*1+MOD(MOD(K$5,2)*INT(Bang_Tra_Cuu!$I$12/2)+MOD(INT(K$5/2),2)*INT(Bang_Tra_Cuu!$J$12/2)+MOD(INT(K$5/4),2)*INT(Bang_Tra_Cuu!$K$12/2)+MOD(INT(K$5/8),2)*INT(Bang_Tra_Cuu!$L$12/2),2)*2+MOD(MOD(K$5,2)*INT(Bang_Tra_Cuu!$I$12/4)+MOD(INT(K$5/2),2)*INT(Bang_Tra_Cuu!$J$12/4)+MOD(INT(K$5/4),2)*INT(Bang_Tra_Cuu!$K$12/4)+MOD(INT(K$5/8),2)*INT(Bang_Tra_Cuu!$L$12/4),2)*4+MOD(MOD(K$5,2)*INT(Bang_Tra_Cuu!$I$12/8)+MOD(INT(K$5/2),2)*INT(Bang_Tra_Cuu!$J$12/8)+MOD(INT(K$5/4),2)*INT(Bang_Tra_Cuu!$K$12/8)+MOD(INT(K$5/8),2)*INT(Bang_Tra_Cuu!$L$12/8),2)*8</f>
        <v/>
      </c>
      <c r="L13" s="14">
        <f>MOD(MOD(L$5,2)*INT(Bang_Tra_Cuu!$I$12/1)+MOD(INT(L$5/2),2)*INT(Bang_Tra_Cuu!$J$12/1)+MOD(INT(L$5/4),2)*INT(Bang_Tra_Cuu!$K$12/1)+MOD(INT(L$5/8),2)*INT(Bang_Tra_Cuu!$L$12/1),2)*1+MOD(MOD(L$5,2)*INT(Bang_Tra_Cuu!$I$12/2)+MOD(INT(L$5/2),2)*INT(Bang_Tra_Cuu!$J$12/2)+MOD(INT(L$5/4),2)*INT(Bang_Tra_Cuu!$K$12/2)+MOD(INT(L$5/8),2)*INT(Bang_Tra_Cuu!$L$12/2),2)*2+MOD(MOD(L$5,2)*INT(Bang_Tra_Cuu!$I$12/4)+MOD(INT(L$5/2),2)*INT(Bang_Tra_Cuu!$J$12/4)+MOD(INT(L$5/4),2)*INT(Bang_Tra_Cuu!$K$12/4)+MOD(INT(L$5/8),2)*INT(Bang_Tra_Cuu!$L$12/4),2)*4+MOD(MOD(L$5,2)*INT(Bang_Tra_Cuu!$I$12/8)+MOD(INT(L$5/2),2)*INT(Bang_Tra_Cuu!$J$12/8)+MOD(INT(L$5/4),2)*INT(Bang_Tra_Cuu!$K$12/8)+MOD(INT(L$5/8),2)*INT(Bang_Tra_Cuu!$L$12/8),2)*8</f>
        <v/>
      </c>
      <c r="M13" s="17">
        <f>MOD(MOD(M$5,2)*INT(Bang_Tra_Cuu!$I$12/1)+MOD(INT(M$5/2),2)*INT(Bang_Tra_Cuu!$J$12/1)+MOD(INT(M$5/4),2)*INT(Bang_Tra_Cuu!$K$12/1)+MOD(INT(M$5/8),2)*INT(Bang_Tra_Cuu!$L$12/1),2)*1+MOD(MOD(M$5,2)*INT(Bang_Tra_Cuu!$I$12/2)+MOD(INT(M$5/2),2)*INT(Bang_Tra_Cuu!$J$12/2)+MOD(INT(M$5/4),2)*INT(Bang_Tra_Cuu!$K$12/2)+MOD(INT(M$5/8),2)*INT(Bang_Tra_Cuu!$L$12/2),2)*2+MOD(MOD(M$5,2)*INT(Bang_Tra_Cuu!$I$12/4)+MOD(INT(M$5/2),2)*INT(Bang_Tra_Cuu!$J$12/4)+MOD(INT(M$5/4),2)*INT(Bang_Tra_Cuu!$K$12/4)+MOD(INT(M$5/8),2)*INT(Bang_Tra_Cuu!$L$12/4),2)*4+MOD(MOD(M$5,2)*INT(Bang_Tra_Cuu!$I$12/8)+MOD(INT(M$5/2),2)*INT(Bang_Tra_Cuu!$J$12/8)+MOD(INT(M$5/4),2)*INT(Bang_Tra_Cuu!$K$12/8)+MOD(INT(M$5/8),2)*INT(Bang_Tra_Cuu!$L$12/8),2)*8</f>
        <v/>
      </c>
      <c r="N13" s="14">
        <f>MOD(MOD(N$5,2)*INT(Bang_Tra_Cuu!$I$12/1)+MOD(INT(N$5/2),2)*INT(Bang_Tra_Cuu!$J$12/1)+MOD(INT(N$5/4),2)*INT(Bang_Tra_Cuu!$K$12/1)+MOD(INT(N$5/8),2)*INT(Bang_Tra_Cuu!$L$12/1),2)*1+MOD(MOD(N$5,2)*INT(Bang_Tra_Cuu!$I$12/2)+MOD(INT(N$5/2),2)*INT(Bang_Tra_Cuu!$J$12/2)+MOD(INT(N$5/4),2)*INT(Bang_Tra_Cuu!$K$12/2)+MOD(INT(N$5/8),2)*INT(Bang_Tra_Cuu!$L$12/2),2)*2+MOD(MOD(N$5,2)*INT(Bang_Tra_Cuu!$I$12/4)+MOD(INT(N$5/2),2)*INT(Bang_Tra_Cuu!$J$12/4)+MOD(INT(N$5/4),2)*INT(Bang_Tra_Cuu!$K$12/4)+MOD(INT(N$5/8),2)*INT(Bang_Tra_Cuu!$L$12/4),2)*4+MOD(MOD(N$5,2)*INT(Bang_Tra_Cuu!$I$12/8)+MOD(INT(N$5/2),2)*INT(Bang_Tra_Cuu!$J$12/8)+MOD(INT(N$5/4),2)*INT(Bang_Tra_Cuu!$K$12/8)+MOD(INT(N$5/8),2)*INT(Bang_Tra_Cuu!$L$12/8),2)*8</f>
        <v/>
      </c>
      <c r="O13" s="17">
        <f>MOD(MOD(O$5,2)*INT(Bang_Tra_Cuu!$I$12/1)+MOD(INT(O$5/2),2)*INT(Bang_Tra_Cuu!$J$12/1)+MOD(INT(O$5/4),2)*INT(Bang_Tra_Cuu!$K$12/1)+MOD(INT(O$5/8),2)*INT(Bang_Tra_Cuu!$L$12/1),2)*1+MOD(MOD(O$5,2)*INT(Bang_Tra_Cuu!$I$12/2)+MOD(INT(O$5/2),2)*INT(Bang_Tra_Cuu!$J$12/2)+MOD(INT(O$5/4),2)*INT(Bang_Tra_Cuu!$K$12/2)+MOD(INT(O$5/8),2)*INT(Bang_Tra_Cuu!$L$12/2),2)*2+MOD(MOD(O$5,2)*INT(Bang_Tra_Cuu!$I$12/4)+MOD(INT(O$5/2),2)*INT(Bang_Tra_Cuu!$J$12/4)+MOD(INT(O$5/4),2)*INT(Bang_Tra_Cuu!$K$12/4)+MOD(INT(O$5/8),2)*INT(Bang_Tra_Cuu!$L$12/4),2)*4+MOD(MOD(O$5,2)*INT(Bang_Tra_Cuu!$I$12/8)+MOD(INT(O$5/2),2)*INT(Bang_Tra_Cuu!$J$12/8)+MOD(INT(O$5/4),2)*INT(Bang_Tra_Cuu!$K$12/8)+MOD(INT(O$5/8),2)*INT(Bang_Tra_Cuu!$L$12/8),2)*8</f>
        <v/>
      </c>
      <c r="P13" s="14">
        <f>MOD(MOD(P$5,2)*INT(Bang_Tra_Cuu!$I$12/1)+MOD(INT(P$5/2),2)*INT(Bang_Tra_Cuu!$J$12/1)+MOD(INT(P$5/4),2)*INT(Bang_Tra_Cuu!$K$12/1)+MOD(INT(P$5/8),2)*INT(Bang_Tra_Cuu!$L$12/1),2)*1+MOD(MOD(P$5,2)*INT(Bang_Tra_Cuu!$I$12/2)+MOD(INT(P$5/2),2)*INT(Bang_Tra_Cuu!$J$12/2)+MOD(INT(P$5/4),2)*INT(Bang_Tra_Cuu!$K$12/2)+MOD(INT(P$5/8),2)*INT(Bang_Tra_Cuu!$L$12/2),2)*2+MOD(MOD(P$5,2)*INT(Bang_Tra_Cuu!$I$12/4)+MOD(INT(P$5/2),2)*INT(Bang_Tra_Cuu!$J$12/4)+MOD(INT(P$5/4),2)*INT(Bang_Tra_Cuu!$K$12/4)+MOD(INT(P$5/8),2)*INT(Bang_Tra_Cuu!$L$12/4),2)*4+MOD(MOD(P$5,2)*INT(Bang_Tra_Cuu!$I$12/8)+MOD(INT(P$5/2),2)*INT(Bang_Tra_Cuu!$J$12/8)+MOD(INT(P$5/4),2)*INT(Bang_Tra_Cuu!$K$12/8)+MOD(INT(P$5/8),2)*INT(Bang_Tra_Cuu!$L$12/8),2)*8</f>
        <v/>
      </c>
      <c r="Q13" s="17">
        <f>MOD(MOD(Q$5,2)*INT(Bang_Tra_Cuu!$I$12/1)+MOD(INT(Q$5/2),2)*INT(Bang_Tra_Cuu!$J$12/1)+MOD(INT(Q$5/4),2)*INT(Bang_Tra_Cuu!$K$12/1)+MOD(INT(Q$5/8),2)*INT(Bang_Tra_Cuu!$L$12/1),2)*1+MOD(MOD(Q$5,2)*INT(Bang_Tra_Cuu!$I$12/2)+MOD(INT(Q$5/2),2)*INT(Bang_Tra_Cuu!$J$12/2)+MOD(INT(Q$5/4),2)*INT(Bang_Tra_Cuu!$K$12/2)+MOD(INT(Q$5/8),2)*INT(Bang_Tra_Cuu!$L$12/2),2)*2+MOD(MOD(Q$5,2)*INT(Bang_Tra_Cuu!$I$12/4)+MOD(INT(Q$5/2),2)*INT(Bang_Tra_Cuu!$J$12/4)+MOD(INT(Q$5/4),2)*INT(Bang_Tra_Cuu!$K$12/4)+MOD(INT(Q$5/8),2)*INT(Bang_Tra_Cuu!$L$12/4),2)*4+MOD(MOD(Q$5,2)*INT(Bang_Tra_Cuu!$I$12/8)+MOD(INT(Q$5/2),2)*INT(Bang_Tra_Cuu!$J$12/8)+MOD(INT(Q$5/4),2)*INT(Bang_Tra_Cuu!$K$12/8)+MOD(INT(Q$5/8),2)*INT(Bang_Tra_Cuu!$L$12/8),2)*8</f>
        <v/>
      </c>
      <c r="R13" s="14">
        <f>MOD(MOD(R$5,2)*INT(Bang_Tra_Cuu!$I$12/1)+MOD(INT(R$5/2),2)*INT(Bang_Tra_Cuu!$J$12/1)+MOD(INT(R$5/4),2)*INT(Bang_Tra_Cuu!$K$12/1)+MOD(INT(R$5/8),2)*INT(Bang_Tra_Cuu!$L$12/1),2)*1+MOD(MOD(R$5,2)*INT(Bang_Tra_Cuu!$I$12/2)+MOD(INT(R$5/2),2)*INT(Bang_Tra_Cuu!$J$12/2)+MOD(INT(R$5/4),2)*INT(Bang_Tra_Cuu!$K$12/2)+MOD(INT(R$5/8),2)*INT(Bang_Tra_Cuu!$L$12/2),2)*2+MOD(MOD(R$5,2)*INT(Bang_Tra_Cuu!$I$12/4)+MOD(INT(R$5/2),2)*INT(Bang_Tra_Cuu!$J$12/4)+MOD(INT(R$5/4),2)*INT(Bang_Tra_Cuu!$K$12/4)+MOD(INT(R$5/8),2)*INT(Bang_Tra_Cuu!$L$12/4),2)*4+MOD(MOD(R$5,2)*INT(Bang_Tra_Cuu!$I$12/8)+MOD(INT(R$5/2),2)*INT(Bang_Tra_Cuu!$J$12/8)+MOD(INT(R$5/4),2)*INT(Bang_Tra_Cuu!$K$12/8)+MOD(INT(R$5/8),2)*INT(Bang_Tra_Cuu!$L$12/8),2)*8</f>
        <v/>
      </c>
      <c r="T13" s="17" t="n">
        <v>7</v>
      </c>
      <c r="U13" s="19" t="inlineStr">
        <is>
          <t>x^2 + x + 1</t>
        </is>
      </c>
      <c r="V13" s="17">
        <f>COUNTIF($C$6:$R$21, T13)</f>
        <v/>
      </c>
      <c r="W13" s="17">
        <f>COUNTIF($D$7:$R$21, T13)</f>
        <v/>
      </c>
    </row>
    <row r="14" ht="20" customHeight="1">
      <c r="A14" s="30" t="n">
        <v>8</v>
      </c>
      <c r="B14" s="31" t="inlineStr">
        <is>
          <t>x^3</t>
        </is>
      </c>
      <c r="C14" s="14">
        <f>MOD(MOD(C$5,2)*INT(Bang_Tra_Cuu!$I$13/1)+MOD(INT(C$5/2),2)*INT(Bang_Tra_Cuu!$J$13/1)+MOD(INT(C$5/4),2)*INT(Bang_Tra_Cuu!$K$13/1)+MOD(INT(C$5/8),2)*INT(Bang_Tra_Cuu!$L$13/1),2)*1+MOD(MOD(C$5,2)*INT(Bang_Tra_Cuu!$I$13/2)+MOD(INT(C$5/2),2)*INT(Bang_Tra_Cuu!$J$13/2)+MOD(INT(C$5/4),2)*INT(Bang_Tra_Cuu!$K$13/2)+MOD(INT(C$5/8),2)*INT(Bang_Tra_Cuu!$L$13/2),2)*2+MOD(MOD(C$5,2)*INT(Bang_Tra_Cuu!$I$13/4)+MOD(INT(C$5/2),2)*INT(Bang_Tra_Cuu!$J$13/4)+MOD(INT(C$5/4),2)*INT(Bang_Tra_Cuu!$K$13/4)+MOD(INT(C$5/8),2)*INT(Bang_Tra_Cuu!$L$13/4),2)*4+MOD(MOD(C$5,2)*INT(Bang_Tra_Cuu!$I$13/8)+MOD(INT(C$5/2),2)*INT(Bang_Tra_Cuu!$J$13/8)+MOD(INT(C$5/4),2)*INT(Bang_Tra_Cuu!$K$13/8)+MOD(INT(C$5/8),2)*INT(Bang_Tra_Cuu!$L$13/8),2)*8</f>
        <v/>
      </c>
      <c r="D14" s="17">
        <f>MOD(MOD(D$5,2)*INT(Bang_Tra_Cuu!$I$13/1)+MOD(INT(D$5/2),2)*INT(Bang_Tra_Cuu!$J$13/1)+MOD(INT(D$5/4),2)*INT(Bang_Tra_Cuu!$K$13/1)+MOD(INT(D$5/8),2)*INT(Bang_Tra_Cuu!$L$13/1),2)*1+MOD(MOD(D$5,2)*INT(Bang_Tra_Cuu!$I$13/2)+MOD(INT(D$5/2),2)*INT(Bang_Tra_Cuu!$J$13/2)+MOD(INT(D$5/4),2)*INT(Bang_Tra_Cuu!$K$13/2)+MOD(INT(D$5/8),2)*INT(Bang_Tra_Cuu!$L$13/2),2)*2+MOD(MOD(D$5,2)*INT(Bang_Tra_Cuu!$I$13/4)+MOD(INT(D$5/2),2)*INT(Bang_Tra_Cuu!$J$13/4)+MOD(INT(D$5/4),2)*INT(Bang_Tra_Cuu!$K$13/4)+MOD(INT(D$5/8),2)*INT(Bang_Tra_Cuu!$L$13/4),2)*4+MOD(MOD(D$5,2)*INT(Bang_Tra_Cuu!$I$13/8)+MOD(INT(D$5/2),2)*INT(Bang_Tra_Cuu!$J$13/8)+MOD(INT(D$5/4),2)*INT(Bang_Tra_Cuu!$K$13/8)+MOD(INT(D$5/8),2)*INT(Bang_Tra_Cuu!$L$13/8),2)*8</f>
        <v/>
      </c>
      <c r="E14" s="14">
        <f>MOD(MOD(E$5,2)*INT(Bang_Tra_Cuu!$I$13/1)+MOD(INT(E$5/2),2)*INT(Bang_Tra_Cuu!$J$13/1)+MOD(INT(E$5/4),2)*INT(Bang_Tra_Cuu!$K$13/1)+MOD(INT(E$5/8),2)*INT(Bang_Tra_Cuu!$L$13/1),2)*1+MOD(MOD(E$5,2)*INT(Bang_Tra_Cuu!$I$13/2)+MOD(INT(E$5/2),2)*INT(Bang_Tra_Cuu!$J$13/2)+MOD(INT(E$5/4),2)*INT(Bang_Tra_Cuu!$K$13/2)+MOD(INT(E$5/8),2)*INT(Bang_Tra_Cuu!$L$13/2),2)*2+MOD(MOD(E$5,2)*INT(Bang_Tra_Cuu!$I$13/4)+MOD(INT(E$5/2),2)*INT(Bang_Tra_Cuu!$J$13/4)+MOD(INT(E$5/4),2)*INT(Bang_Tra_Cuu!$K$13/4)+MOD(INT(E$5/8),2)*INT(Bang_Tra_Cuu!$L$13/4),2)*4+MOD(MOD(E$5,2)*INT(Bang_Tra_Cuu!$I$13/8)+MOD(INT(E$5/2),2)*INT(Bang_Tra_Cuu!$J$13/8)+MOD(INT(E$5/4),2)*INT(Bang_Tra_Cuu!$K$13/8)+MOD(INT(E$5/8),2)*INT(Bang_Tra_Cuu!$L$13/8),2)*8</f>
        <v/>
      </c>
      <c r="F14" s="17">
        <f>MOD(MOD(F$5,2)*INT(Bang_Tra_Cuu!$I$13/1)+MOD(INT(F$5/2),2)*INT(Bang_Tra_Cuu!$J$13/1)+MOD(INT(F$5/4),2)*INT(Bang_Tra_Cuu!$K$13/1)+MOD(INT(F$5/8),2)*INT(Bang_Tra_Cuu!$L$13/1),2)*1+MOD(MOD(F$5,2)*INT(Bang_Tra_Cuu!$I$13/2)+MOD(INT(F$5/2),2)*INT(Bang_Tra_Cuu!$J$13/2)+MOD(INT(F$5/4),2)*INT(Bang_Tra_Cuu!$K$13/2)+MOD(INT(F$5/8),2)*INT(Bang_Tra_Cuu!$L$13/2),2)*2+MOD(MOD(F$5,2)*INT(Bang_Tra_Cuu!$I$13/4)+MOD(INT(F$5/2),2)*INT(Bang_Tra_Cuu!$J$13/4)+MOD(INT(F$5/4),2)*INT(Bang_Tra_Cuu!$K$13/4)+MOD(INT(F$5/8),2)*INT(Bang_Tra_Cuu!$L$13/4),2)*4+MOD(MOD(F$5,2)*INT(Bang_Tra_Cuu!$I$13/8)+MOD(INT(F$5/2),2)*INT(Bang_Tra_Cuu!$J$13/8)+MOD(INT(F$5/4),2)*INT(Bang_Tra_Cuu!$K$13/8)+MOD(INT(F$5/8),2)*INT(Bang_Tra_Cuu!$L$13/8),2)*8</f>
        <v/>
      </c>
      <c r="G14" s="14">
        <f>MOD(MOD(G$5,2)*INT(Bang_Tra_Cuu!$I$13/1)+MOD(INT(G$5/2),2)*INT(Bang_Tra_Cuu!$J$13/1)+MOD(INT(G$5/4),2)*INT(Bang_Tra_Cuu!$K$13/1)+MOD(INT(G$5/8),2)*INT(Bang_Tra_Cuu!$L$13/1),2)*1+MOD(MOD(G$5,2)*INT(Bang_Tra_Cuu!$I$13/2)+MOD(INT(G$5/2),2)*INT(Bang_Tra_Cuu!$J$13/2)+MOD(INT(G$5/4),2)*INT(Bang_Tra_Cuu!$K$13/2)+MOD(INT(G$5/8),2)*INT(Bang_Tra_Cuu!$L$13/2),2)*2+MOD(MOD(G$5,2)*INT(Bang_Tra_Cuu!$I$13/4)+MOD(INT(G$5/2),2)*INT(Bang_Tra_Cuu!$J$13/4)+MOD(INT(G$5/4),2)*INT(Bang_Tra_Cuu!$K$13/4)+MOD(INT(G$5/8),2)*INT(Bang_Tra_Cuu!$L$13/4),2)*4+MOD(MOD(G$5,2)*INT(Bang_Tra_Cuu!$I$13/8)+MOD(INT(G$5/2),2)*INT(Bang_Tra_Cuu!$J$13/8)+MOD(INT(G$5/4),2)*INT(Bang_Tra_Cuu!$K$13/8)+MOD(INT(G$5/8),2)*INT(Bang_Tra_Cuu!$L$13/8),2)*8</f>
        <v/>
      </c>
      <c r="H14" s="17">
        <f>MOD(MOD(H$5,2)*INT(Bang_Tra_Cuu!$I$13/1)+MOD(INT(H$5/2),2)*INT(Bang_Tra_Cuu!$J$13/1)+MOD(INT(H$5/4),2)*INT(Bang_Tra_Cuu!$K$13/1)+MOD(INT(H$5/8),2)*INT(Bang_Tra_Cuu!$L$13/1),2)*1+MOD(MOD(H$5,2)*INT(Bang_Tra_Cuu!$I$13/2)+MOD(INT(H$5/2),2)*INT(Bang_Tra_Cuu!$J$13/2)+MOD(INT(H$5/4),2)*INT(Bang_Tra_Cuu!$K$13/2)+MOD(INT(H$5/8),2)*INT(Bang_Tra_Cuu!$L$13/2),2)*2+MOD(MOD(H$5,2)*INT(Bang_Tra_Cuu!$I$13/4)+MOD(INT(H$5/2),2)*INT(Bang_Tra_Cuu!$J$13/4)+MOD(INT(H$5/4),2)*INT(Bang_Tra_Cuu!$K$13/4)+MOD(INT(H$5/8),2)*INT(Bang_Tra_Cuu!$L$13/4),2)*4+MOD(MOD(H$5,2)*INT(Bang_Tra_Cuu!$I$13/8)+MOD(INT(H$5/2),2)*INT(Bang_Tra_Cuu!$J$13/8)+MOD(INT(H$5/4),2)*INT(Bang_Tra_Cuu!$K$13/8)+MOD(INT(H$5/8),2)*INT(Bang_Tra_Cuu!$L$13/8),2)*8</f>
        <v/>
      </c>
      <c r="I14" s="14">
        <f>MOD(MOD(I$5,2)*INT(Bang_Tra_Cuu!$I$13/1)+MOD(INT(I$5/2),2)*INT(Bang_Tra_Cuu!$J$13/1)+MOD(INT(I$5/4),2)*INT(Bang_Tra_Cuu!$K$13/1)+MOD(INT(I$5/8),2)*INT(Bang_Tra_Cuu!$L$13/1),2)*1+MOD(MOD(I$5,2)*INT(Bang_Tra_Cuu!$I$13/2)+MOD(INT(I$5/2),2)*INT(Bang_Tra_Cuu!$J$13/2)+MOD(INT(I$5/4),2)*INT(Bang_Tra_Cuu!$K$13/2)+MOD(INT(I$5/8),2)*INT(Bang_Tra_Cuu!$L$13/2),2)*2+MOD(MOD(I$5,2)*INT(Bang_Tra_Cuu!$I$13/4)+MOD(INT(I$5/2),2)*INT(Bang_Tra_Cuu!$J$13/4)+MOD(INT(I$5/4),2)*INT(Bang_Tra_Cuu!$K$13/4)+MOD(INT(I$5/8),2)*INT(Bang_Tra_Cuu!$L$13/4),2)*4+MOD(MOD(I$5,2)*INT(Bang_Tra_Cuu!$I$13/8)+MOD(INT(I$5/2),2)*INT(Bang_Tra_Cuu!$J$13/8)+MOD(INT(I$5/4),2)*INT(Bang_Tra_Cuu!$K$13/8)+MOD(INT(I$5/8),2)*INT(Bang_Tra_Cuu!$L$13/8),2)*8</f>
        <v/>
      </c>
      <c r="J14" s="17">
        <f>MOD(MOD(J$5,2)*INT(Bang_Tra_Cuu!$I$13/1)+MOD(INT(J$5/2),2)*INT(Bang_Tra_Cuu!$J$13/1)+MOD(INT(J$5/4),2)*INT(Bang_Tra_Cuu!$K$13/1)+MOD(INT(J$5/8),2)*INT(Bang_Tra_Cuu!$L$13/1),2)*1+MOD(MOD(J$5,2)*INT(Bang_Tra_Cuu!$I$13/2)+MOD(INT(J$5/2),2)*INT(Bang_Tra_Cuu!$J$13/2)+MOD(INT(J$5/4),2)*INT(Bang_Tra_Cuu!$K$13/2)+MOD(INT(J$5/8),2)*INT(Bang_Tra_Cuu!$L$13/2),2)*2+MOD(MOD(J$5,2)*INT(Bang_Tra_Cuu!$I$13/4)+MOD(INT(J$5/2),2)*INT(Bang_Tra_Cuu!$J$13/4)+MOD(INT(J$5/4),2)*INT(Bang_Tra_Cuu!$K$13/4)+MOD(INT(J$5/8),2)*INT(Bang_Tra_Cuu!$L$13/4),2)*4+MOD(MOD(J$5,2)*INT(Bang_Tra_Cuu!$I$13/8)+MOD(INT(J$5/2),2)*INT(Bang_Tra_Cuu!$J$13/8)+MOD(INT(J$5/4),2)*INT(Bang_Tra_Cuu!$K$13/8)+MOD(INT(J$5/8),2)*INT(Bang_Tra_Cuu!$L$13/8),2)*8</f>
        <v/>
      </c>
      <c r="K14" s="14">
        <f>MOD(MOD(K$5,2)*INT(Bang_Tra_Cuu!$I$13/1)+MOD(INT(K$5/2),2)*INT(Bang_Tra_Cuu!$J$13/1)+MOD(INT(K$5/4),2)*INT(Bang_Tra_Cuu!$K$13/1)+MOD(INT(K$5/8),2)*INT(Bang_Tra_Cuu!$L$13/1),2)*1+MOD(MOD(K$5,2)*INT(Bang_Tra_Cuu!$I$13/2)+MOD(INT(K$5/2),2)*INT(Bang_Tra_Cuu!$J$13/2)+MOD(INT(K$5/4),2)*INT(Bang_Tra_Cuu!$K$13/2)+MOD(INT(K$5/8),2)*INT(Bang_Tra_Cuu!$L$13/2),2)*2+MOD(MOD(K$5,2)*INT(Bang_Tra_Cuu!$I$13/4)+MOD(INT(K$5/2),2)*INT(Bang_Tra_Cuu!$J$13/4)+MOD(INT(K$5/4),2)*INT(Bang_Tra_Cuu!$K$13/4)+MOD(INT(K$5/8),2)*INT(Bang_Tra_Cuu!$L$13/4),2)*4+MOD(MOD(K$5,2)*INT(Bang_Tra_Cuu!$I$13/8)+MOD(INT(K$5/2),2)*INT(Bang_Tra_Cuu!$J$13/8)+MOD(INT(K$5/4),2)*INT(Bang_Tra_Cuu!$K$13/8)+MOD(INT(K$5/8),2)*INT(Bang_Tra_Cuu!$L$13/8),2)*8</f>
        <v/>
      </c>
      <c r="L14" s="17">
        <f>MOD(MOD(L$5,2)*INT(Bang_Tra_Cuu!$I$13/1)+MOD(INT(L$5/2),2)*INT(Bang_Tra_Cuu!$J$13/1)+MOD(INT(L$5/4),2)*INT(Bang_Tra_Cuu!$K$13/1)+MOD(INT(L$5/8),2)*INT(Bang_Tra_Cuu!$L$13/1),2)*1+MOD(MOD(L$5,2)*INT(Bang_Tra_Cuu!$I$13/2)+MOD(INT(L$5/2),2)*INT(Bang_Tra_Cuu!$J$13/2)+MOD(INT(L$5/4),2)*INT(Bang_Tra_Cuu!$K$13/2)+MOD(INT(L$5/8),2)*INT(Bang_Tra_Cuu!$L$13/2),2)*2+MOD(MOD(L$5,2)*INT(Bang_Tra_Cuu!$I$13/4)+MOD(INT(L$5/2),2)*INT(Bang_Tra_Cuu!$J$13/4)+MOD(INT(L$5/4),2)*INT(Bang_Tra_Cuu!$K$13/4)+MOD(INT(L$5/8),2)*INT(Bang_Tra_Cuu!$L$13/4),2)*4+MOD(MOD(L$5,2)*INT(Bang_Tra_Cuu!$I$13/8)+MOD(INT(L$5/2),2)*INT(Bang_Tra_Cuu!$J$13/8)+MOD(INT(L$5/4),2)*INT(Bang_Tra_Cuu!$K$13/8)+MOD(INT(L$5/8),2)*INT(Bang_Tra_Cuu!$L$13/8),2)*8</f>
        <v/>
      </c>
      <c r="M14" s="14">
        <f>MOD(MOD(M$5,2)*INT(Bang_Tra_Cuu!$I$13/1)+MOD(INT(M$5/2),2)*INT(Bang_Tra_Cuu!$J$13/1)+MOD(INT(M$5/4),2)*INT(Bang_Tra_Cuu!$K$13/1)+MOD(INT(M$5/8),2)*INT(Bang_Tra_Cuu!$L$13/1),2)*1+MOD(MOD(M$5,2)*INT(Bang_Tra_Cuu!$I$13/2)+MOD(INT(M$5/2),2)*INT(Bang_Tra_Cuu!$J$13/2)+MOD(INT(M$5/4),2)*INT(Bang_Tra_Cuu!$K$13/2)+MOD(INT(M$5/8),2)*INT(Bang_Tra_Cuu!$L$13/2),2)*2+MOD(MOD(M$5,2)*INT(Bang_Tra_Cuu!$I$13/4)+MOD(INT(M$5/2),2)*INT(Bang_Tra_Cuu!$J$13/4)+MOD(INT(M$5/4),2)*INT(Bang_Tra_Cuu!$K$13/4)+MOD(INT(M$5/8),2)*INT(Bang_Tra_Cuu!$L$13/4),2)*4+MOD(MOD(M$5,2)*INT(Bang_Tra_Cuu!$I$13/8)+MOD(INT(M$5/2),2)*INT(Bang_Tra_Cuu!$J$13/8)+MOD(INT(M$5/4),2)*INT(Bang_Tra_Cuu!$K$13/8)+MOD(INT(M$5/8),2)*INT(Bang_Tra_Cuu!$L$13/8),2)*8</f>
        <v/>
      </c>
      <c r="N14" s="17">
        <f>MOD(MOD(N$5,2)*INT(Bang_Tra_Cuu!$I$13/1)+MOD(INT(N$5/2),2)*INT(Bang_Tra_Cuu!$J$13/1)+MOD(INT(N$5/4),2)*INT(Bang_Tra_Cuu!$K$13/1)+MOD(INT(N$5/8),2)*INT(Bang_Tra_Cuu!$L$13/1),2)*1+MOD(MOD(N$5,2)*INT(Bang_Tra_Cuu!$I$13/2)+MOD(INT(N$5/2),2)*INT(Bang_Tra_Cuu!$J$13/2)+MOD(INT(N$5/4),2)*INT(Bang_Tra_Cuu!$K$13/2)+MOD(INT(N$5/8),2)*INT(Bang_Tra_Cuu!$L$13/2),2)*2+MOD(MOD(N$5,2)*INT(Bang_Tra_Cuu!$I$13/4)+MOD(INT(N$5/2),2)*INT(Bang_Tra_Cuu!$J$13/4)+MOD(INT(N$5/4),2)*INT(Bang_Tra_Cuu!$K$13/4)+MOD(INT(N$5/8),2)*INT(Bang_Tra_Cuu!$L$13/4),2)*4+MOD(MOD(N$5,2)*INT(Bang_Tra_Cuu!$I$13/8)+MOD(INT(N$5/2),2)*INT(Bang_Tra_Cuu!$J$13/8)+MOD(INT(N$5/4),2)*INT(Bang_Tra_Cuu!$K$13/8)+MOD(INT(N$5/8),2)*INT(Bang_Tra_Cuu!$L$13/8),2)*8</f>
        <v/>
      </c>
      <c r="O14" s="14">
        <f>MOD(MOD(O$5,2)*INT(Bang_Tra_Cuu!$I$13/1)+MOD(INT(O$5/2),2)*INT(Bang_Tra_Cuu!$J$13/1)+MOD(INT(O$5/4),2)*INT(Bang_Tra_Cuu!$K$13/1)+MOD(INT(O$5/8),2)*INT(Bang_Tra_Cuu!$L$13/1),2)*1+MOD(MOD(O$5,2)*INT(Bang_Tra_Cuu!$I$13/2)+MOD(INT(O$5/2),2)*INT(Bang_Tra_Cuu!$J$13/2)+MOD(INT(O$5/4),2)*INT(Bang_Tra_Cuu!$K$13/2)+MOD(INT(O$5/8),2)*INT(Bang_Tra_Cuu!$L$13/2),2)*2+MOD(MOD(O$5,2)*INT(Bang_Tra_Cuu!$I$13/4)+MOD(INT(O$5/2),2)*INT(Bang_Tra_Cuu!$J$13/4)+MOD(INT(O$5/4),2)*INT(Bang_Tra_Cuu!$K$13/4)+MOD(INT(O$5/8),2)*INT(Bang_Tra_Cuu!$L$13/4),2)*4+MOD(MOD(O$5,2)*INT(Bang_Tra_Cuu!$I$13/8)+MOD(INT(O$5/2),2)*INT(Bang_Tra_Cuu!$J$13/8)+MOD(INT(O$5/4),2)*INT(Bang_Tra_Cuu!$K$13/8)+MOD(INT(O$5/8),2)*INT(Bang_Tra_Cuu!$L$13/8),2)*8</f>
        <v/>
      </c>
      <c r="P14" s="17">
        <f>MOD(MOD(P$5,2)*INT(Bang_Tra_Cuu!$I$13/1)+MOD(INT(P$5/2),2)*INT(Bang_Tra_Cuu!$J$13/1)+MOD(INT(P$5/4),2)*INT(Bang_Tra_Cuu!$K$13/1)+MOD(INT(P$5/8),2)*INT(Bang_Tra_Cuu!$L$13/1),2)*1+MOD(MOD(P$5,2)*INT(Bang_Tra_Cuu!$I$13/2)+MOD(INT(P$5/2),2)*INT(Bang_Tra_Cuu!$J$13/2)+MOD(INT(P$5/4),2)*INT(Bang_Tra_Cuu!$K$13/2)+MOD(INT(P$5/8),2)*INT(Bang_Tra_Cuu!$L$13/2),2)*2+MOD(MOD(P$5,2)*INT(Bang_Tra_Cuu!$I$13/4)+MOD(INT(P$5/2),2)*INT(Bang_Tra_Cuu!$J$13/4)+MOD(INT(P$5/4),2)*INT(Bang_Tra_Cuu!$K$13/4)+MOD(INT(P$5/8),2)*INT(Bang_Tra_Cuu!$L$13/4),2)*4+MOD(MOD(P$5,2)*INT(Bang_Tra_Cuu!$I$13/8)+MOD(INT(P$5/2),2)*INT(Bang_Tra_Cuu!$J$13/8)+MOD(INT(P$5/4),2)*INT(Bang_Tra_Cuu!$K$13/8)+MOD(INT(P$5/8),2)*INT(Bang_Tra_Cuu!$L$13/8),2)*8</f>
        <v/>
      </c>
      <c r="Q14" s="14">
        <f>MOD(MOD(Q$5,2)*INT(Bang_Tra_Cuu!$I$13/1)+MOD(INT(Q$5/2),2)*INT(Bang_Tra_Cuu!$J$13/1)+MOD(INT(Q$5/4),2)*INT(Bang_Tra_Cuu!$K$13/1)+MOD(INT(Q$5/8),2)*INT(Bang_Tra_Cuu!$L$13/1),2)*1+MOD(MOD(Q$5,2)*INT(Bang_Tra_Cuu!$I$13/2)+MOD(INT(Q$5/2),2)*INT(Bang_Tra_Cuu!$J$13/2)+MOD(INT(Q$5/4),2)*INT(Bang_Tra_Cuu!$K$13/2)+MOD(INT(Q$5/8),2)*INT(Bang_Tra_Cuu!$L$13/2),2)*2+MOD(MOD(Q$5,2)*INT(Bang_Tra_Cuu!$I$13/4)+MOD(INT(Q$5/2),2)*INT(Bang_Tra_Cuu!$J$13/4)+MOD(INT(Q$5/4),2)*INT(Bang_Tra_Cuu!$K$13/4)+MOD(INT(Q$5/8),2)*INT(Bang_Tra_Cuu!$L$13/4),2)*4+MOD(MOD(Q$5,2)*INT(Bang_Tra_Cuu!$I$13/8)+MOD(INT(Q$5/2),2)*INT(Bang_Tra_Cuu!$J$13/8)+MOD(INT(Q$5/4),2)*INT(Bang_Tra_Cuu!$K$13/8)+MOD(INT(Q$5/8),2)*INT(Bang_Tra_Cuu!$L$13/8),2)*8</f>
        <v/>
      </c>
      <c r="R14" s="17">
        <f>MOD(MOD(R$5,2)*INT(Bang_Tra_Cuu!$I$13/1)+MOD(INT(R$5/2),2)*INT(Bang_Tra_Cuu!$J$13/1)+MOD(INT(R$5/4),2)*INT(Bang_Tra_Cuu!$K$13/1)+MOD(INT(R$5/8),2)*INT(Bang_Tra_Cuu!$L$13/1),2)*1+MOD(MOD(R$5,2)*INT(Bang_Tra_Cuu!$I$13/2)+MOD(INT(R$5/2),2)*INT(Bang_Tra_Cuu!$J$13/2)+MOD(INT(R$5/4),2)*INT(Bang_Tra_Cuu!$K$13/2)+MOD(INT(R$5/8),2)*INT(Bang_Tra_Cuu!$L$13/2),2)*2+MOD(MOD(R$5,2)*INT(Bang_Tra_Cuu!$I$13/4)+MOD(INT(R$5/2),2)*INT(Bang_Tra_Cuu!$J$13/4)+MOD(INT(R$5/4),2)*INT(Bang_Tra_Cuu!$K$13/4)+MOD(INT(R$5/8),2)*INT(Bang_Tra_Cuu!$L$13/4),2)*4+MOD(MOD(R$5,2)*INT(Bang_Tra_Cuu!$I$13/8)+MOD(INT(R$5/2),2)*INT(Bang_Tra_Cuu!$J$13/8)+MOD(INT(R$5/4),2)*INT(Bang_Tra_Cuu!$K$13/8)+MOD(INT(R$5/8),2)*INT(Bang_Tra_Cuu!$L$13/8),2)*8</f>
        <v/>
      </c>
      <c r="T14" s="14" t="n">
        <v>8</v>
      </c>
      <c r="U14" s="6" t="inlineStr">
        <is>
          <t>x^3</t>
        </is>
      </c>
      <c r="V14" s="14">
        <f>COUNTIF($C$6:$R$21, T14)</f>
        <v/>
      </c>
      <c r="W14" s="14">
        <f>COUNTIF($D$7:$R$21, T14)</f>
        <v/>
      </c>
    </row>
    <row r="15" ht="20" customHeight="1">
      <c r="A15" s="30" t="n">
        <v>9</v>
      </c>
      <c r="B15" s="31" t="inlineStr">
        <is>
          <t>x^3 + 1</t>
        </is>
      </c>
      <c r="C15" s="17">
        <f>MOD(MOD(C$5,2)*INT(Bang_Tra_Cuu!$I$14/1)+MOD(INT(C$5/2),2)*INT(Bang_Tra_Cuu!$J$14/1)+MOD(INT(C$5/4),2)*INT(Bang_Tra_Cuu!$K$14/1)+MOD(INT(C$5/8),2)*INT(Bang_Tra_Cuu!$L$14/1),2)*1+MOD(MOD(C$5,2)*INT(Bang_Tra_Cuu!$I$14/2)+MOD(INT(C$5/2),2)*INT(Bang_Tra_Cuu!$J$14/2)+MOD(INT(C$5/4),2)*INT(Bang_Tra_Cuu!$K$14/2)+MOD(INT(C$5/8),2)*INT(Bang_Tra_Cuu!$L$14/2),2)*2+MOD(MOD(C$5,2)*INT(Bang_Tra_Cuu!$I$14/4)+MOD(INT(C$5/2),2)*INT(Bang_Tra_Cuu!$J$14/4)+MOD(INT(C$5/4),2)*INT(Bang_Tra_Cuu!$K$14/4)+MOD(INT(C$5/8),2)*INT(Bang_Tra_Cuu!$L$14/4),2)*4+MOD(MOD(C$5,2)*INT(Bang_Tra_Cuu!$I$14/8)+MOD(INT(C$5/2),2)*INT(Bang_Tra_Cuu!$J$14/8)+MOD(INT(C$5/4),2)*INT(Bang_Tra_Cuu!$K$14/8)+MOD(INT(C$5/8),2)*INT(Bang_Tra_Cuu!$L$14/8),2)*8</f>
        <v/>
      </c>
      <c r="D15" s="14">
        <f>MOD(MOD(D$5,2)*INT(Bang_Tra_Cuu!$I$14/1)+MOD(INT(D$5/2),2)*INT(Bang_Tra_Cuu!$J$14/1)+MOD(INT(D$5/4),2)*INT(Bang_Tra_Cuu!$K$14/1)+MOD(INT(D$5/8),2)*INT(Bang_Tra_Cuu!$L$14/1),2)*1+MOD(MOD(D$5,2)*INT(Bang_Tra_Cuu!$I$14/2)+MOD(INT(D$5/2),2)*INT(Bang_Tra_Cuu!$J$14/2)+MOD(INT(D$5/4),2)*INT(Bang_Tra_Cuu!$K$14/2)+MOD(INT(D$5/8),2)*INT(Bang_Tra_Cuu!$L$14/2),2)*2+MOD(MOD(D$5,2)*INT(Bang_Tra_Cuu!$I$14/4)+MOD(INT(D$5/2),2)*INT(Bang_Tra_Cuu!$J$14/4)+MOD(INT(D$5/4),2)*INT(Bang_Tra_Cuu!$K$14/4)+MOD(INT(D$5/8),2)*INT(Bang_Tra_Cuu!$L$14/4),2)*4+MOD(MOD(D$5,2)*INT(Bang_Tra_Cuu!$I$14/8)+MOD(INT(D$5/2),2)*INT(Bang_Tra_Cuu!$J$14/8)+MOD(INT(D$5/4),2)*INT(Bang_Tra_Cuu!$K$14/8)+MOD(INT(D$5/8),2)*INT(Bang_Tra_Cuu!$L$14/8),2)*8</f>
        <v/>
      </c>
      <c r="E15" s="17">
        <f>MOD(MOD(E$5,2)*INT(Bang_Tra_Cuu!$I$14/1)+MOD(INT(E$5/2),2)*INT(Bang_Tra_Cuu!$J$14/1)+MOD(INT(E$5/4),2)*INT(Bang_Tra_Cuu!$K$14/1)+MOD(INT(E$5/8),2)*INT(Bang_Tra_Cuu!$L$14/1),2)*1+MOD(MOD(E$5,2)*INT(Bang_Tra_Cuu!$I$14/2)+MOD(INT(E$5/2),2)*INT(Bang_Tra_Cuu!$J$14/2)+MOD(INT(E$5/4),2)*INT(Bang_Tra_Cuu!$K$14/2)+MOD(INT(E$5/8),2)*INT(Bang_Tra_Cuu!$L$14/2),2)*2+MOD(MOD(E$5,2)*INT(Bang_Tra_Cuu!$I$14/4)+MOD(INT(E$5/2),2)*INT(Bang_Tra_Cuu!$J$14/4)+MOD(INT(E$5/4),2)*INT(Bang_Tra_Cuu!$K$14/4)+MOD(INT(E$5/8),2)*INT(Bang_Tra_Cuu!$L$14/4),2)*4+MOD(MOD(E$5,2)*INT(Bang_Tra_Cuu!$I$14/8)+MOD(INT(E$5/2),2)*INT(Bang_Tra_Cuu!$J$14/8)+MOD(INT(E$5/4),2)*INT(Bang_Tra_Cuu!$K$14/8)+MOD(INT(E$5/8),2)*INT(Bang_Tra_Cuu!$L$14/8),2)*8</f>
        <v/>
      </c>
      <c r="F15" s="14">
        <f>MOD(MOD(F$5,2)*INT(Bang_Tra_Cuu!$I$14/1)+MOD(INT(F$5/2),2)*INT(Bang_Tra_Cuu!$J$14/1)+MOD(INT(F$5/4),2)*INT(Bang_Tra_Cuu!$K$14/1)+MOD(INT(F$5/8),2)*INT(Bang_Tra_Cuu!$L$14/1),2)*1+MOD(MOD(F$5,2)*INT(Bang_Tra_Cuu!$I$14/2)+MOD(INT(F$5/2),2)*INT(Bang_Tra_Cuu!$J$14/2)+MOD(INT(F$5/4),2)*INT(Bang_Tra_Cuu!$K$14/2)+MOD(INT(F$5/8),2)*INT(Bang_Tra_Cuu!$L$14/2),2)*2+MOD(MOD(F$5,2)*INT(Bang_Tra_Cuu!$I$14/4)+MOD(INT(F$5/2),2)*INT(Bang_Tra_Cuu!$J$14/4)+MOD(INT(F$5/4),2)*INT(Bang_Tra_Cuu!$K$14/4)+MOD(INT(F$5/8),2)*INT(Bang_Tra_Cuu!$L$14/4),2)*4+MOD(MOD(F$5,2)*INT(Bang_Tra_Cuu!$I$14/8)+MOD(INT(F$5/2),2)*INT(Bang_Tra_Cuu!$J$14/8)+MOD(INT(F$5/4),2)*INT(Bang_Tra_Cuu!$K$14/8)+MOD(INT(F$5/8),2)*INT(Bang_Tra_Cuu!$L$14/8),2)*8</f>
        <v/>
      </c>
      <c r="G15" s="17">
        <f>MOD(MOD(G$5,2)*INT(Bang_Tra_Cuu!$I$14/1)+MOD(INT(G$5/2),2)*INT(Bang_Tra_Cuu!$J$14/1)+MOD(INT(G$5/4),2)*INT(Bang_Tra_Cuu!$K$14/1)+MOD(INT(G$5/8),2)*INT(Bang_Tra_Cuu!$L$14/1),2)*1+MOD(MOD(G$5,2)*INT(Bang_Tra_Cuu!$I$14/2)+MOD(INT(G$5/2),2)*INT(Bang_Tra_Cuu!$J$14/2)+MOD(INT(G$5/4),2)*INT(Bang_Tra_Cuu!$K$14/2)+MOD(INT(G$5/8),2)*INT(Bang_Tra_Cuu!$L$14/2),2)*2+MOD(MOD(G$5,2)*INT(Bang_Tra_Cuu!$I$14/4)+MOD(INT(G$5/2),2)*INT(Bang_Tra_Cuu!$J$14/4)+MOD(INT(G$5/4),2)*INT(Bang_Tra_Cuu!$K$14/4)+MOD(INT(G$5/8),2)*INT(Bang_Tra_Cuu!$L$14/4),2)*4+MOD(MOD(G$5,2)*INT(Bang_Tra_Cuu!$I$14/8)+MOD(INT(G$5/2),2)*INT(Bang_Tra_Cuu!$J$14/8)+MOD(INT(G$5/4),2)*INT(Bang_Tra_Cuu!$K$14/8)+MOD(INT(G$5/8),2)*INT(Bang_Tra_Cuu!$L$14/8),2)*8</f>
        <v/>
      </c>
      <c r="H15" s="14">
        <f>MOD(MOD(H$5,2)*INT(Bang_Tra_Cuu!$I$14/1)+MOD(INT(H$5/2),2)*INT(Bang_Tra_Cuu!$J$14/1)+MOD(INT(H$5/4),2)*INT(Bang_Tra_Cuu!$K$14/1)+MOD(INT(H$5/8),2)*INT(Bang_Tra_Cuu!$L$14/1),2)*1+MOD(MOD(H$5,2)*INT(Bang_Tra_Cuu!$I$14/2)+MOD(INT(H$5/2),2)*INT(Bang_Tra_Cuu!$J$14/2)+MOD(INT(H$5/4),2)*INT(Bang_Tra_Cuu!$K$14/2)+MOD(INT(H$5/8),2)*INT(Bang_Tra_Cuu!$L$14/2),2)*2+MOD(MOD(H$5,2)*INT(Bang_Tra_Cuu!$I$14/4)+MOD(INT(H$5/2),2)*INT(Bang_Tra_Cuu!$J$14/4)+MOD(INT(H$5/4),2)*INT(Bang_Tra_Cuu!$K$14/4)+MOD(INT(H$5/8),2)*INT(Bang_Tra_Cuu!$L$14/4),2)*4+MOD(MOD(H$5,2)*INT(Bang_Tra_Cuu!$I$14/8)+MOD(INT(H$5/2),2)*INT(Bang_Tra_Cuu!$J$14/8)+MOD(INT(H$5/4),2)*INT(Bang_Tra_Cuu!$K$14/8)+MOD(INT(H$5/8),2)*INT(Bang_Tra_Cuu!$L$14/8),2)*8</f>
        <v/>
      </c>
      <c r="I15" s="17">
        <f>MOD(MOD(I$5,2)*INT(Bang_Tra_Cuu!$I$14/1)+MOD(INT(I$5/2),2)*INT(Bang_Tra_Cuu!$J$14/1)+MOD(INT(I$5/4),2)*INT(Bang_Tra_Cuu!$K$14/1)+MOD(INT(I$5/8),2)*INT(Bang_Tra_Cuu!$L$14/1),2)*1+MOD(MOD(I$5,2)*INT(Bang_Tra_Cuu!$I$14/2)+MOD(INT(I$5/2),2)*INT(Bang_Tra_Cuu!$J$14/2)+MOD(INT(I$5/4),2)*INT(Bang_Tra_Cuu!$K$14/2)+MOD(INT(I$5/8),2)*INT(Bang_Tra_Cuu!$L$14/2),2)*2+MOD(MOD(I$5,2)*INT(Bang_Tra_Cuu!$I$14/4)+MOD(INT(I$5/2),2)*INT(Bang_Tra_Cuu!$J$14/4)+MOD(INT(I$5/4),2)*INT(Bang_Tra_Cuu!$K$14/4)+MOD(INT(I$5/8),2)*INT(Bang_Tra_Cuu!$L$14/4),2)*4+MOD(MOD(I$5,2)*INT(Bang_Tra_Cuu!$I$14/8)+MOD(INT(I$5/2),2)*INT(Bang_Tra_Cuu!$J$14/8)+MOD(INT(I$5/4),2)*INT(Bang_Tra_Cuu!$K$14/8)+MOD(INT(I$5/8),2)*INT(Bang_Tra_Cuu!$L$14/8),2)*8</f>
        <v/>
      </c>
      <c r="J15" s="14">
        <f>MOD(MOD(J$5,2)*INT(Bang_Tra_Cuu!$I$14/1)+MOD(INT(J$5/2),2)*INT(Bang_Tra_Cuu!$J$14/1)+MOD(INT(J$5/4),2)*INT(Bang_Tra_Cuu!$K$14/1)+MOD(INT(J$5/8),2)*INT(Bang_Tra_Cuu!$L$14/1),2)*1+MOD(MOD(J$5,2)*INT(Bang_Tra_Cuu!$I$14/2)+MOD(INT(J$5/2),2)*INT(Bang_Tra_Cuu!$J$14/2)+MOD(INT(J$5/4),2)*INT(Bang_Tra_Cuu!$K$14/2)+MOD(INT(J$5/8),2)*INT(Bang_Tra_Cuu!$L$14/2),2)*2+MOD(MOD(J$5,2)*INT(Bang_Tra_Cuu!$I$14/4)+MOD(INT(J$5/2),2)*INT(Bang_Tra_Cuu!$J$14/4)+MOD(INT(J$5/4),2)*INT(Bang_Tra_Cuu!$K$14/4)+MOD(INT(J$5/8),2)*INT(Bang_Tra_Cuu!$L$14/4),2)*4+MOD(MOD(J$5,2)*INT(Bang_Tra_Cuu!$I$14/8)+MOD(INT(J$5/2),2)*INT(Bang_Tra_Cuu!$J$14/8)+MOD(INT(J$5/4),2)*INT(Bang_Tra_Cuu!$K$14/8)+MOD(INT(J$5/8),2)*INT(Bang_Tra_Cuu!$L$14/8),2)*8</f>
        <v/>
      </c>
      <c r="K15" s="17">
        <f>MOD(MOD(K$5,2)*INT(Bang_Tra_Cuu!$I$14/1)+MOD(INT(K$5/2),2)*INT(Bang_Tra_Cuu!$J$14/1)+MOD(INT(K$5/4),2)*INT(Bang_Tra_Cuu!$K$14/1)+MOD(INT(K$5/8),2)*INT(Bang_Tra_Cuu!$L$14/1),2)*1+MOD(MOD(K$5,2)*INT(Bang_Tra_Cuu!$I$14/2)+MOD(INT(K$5/2),2)*INT(Bang_Tra_Cuu!$J$14/2)+MOD(INT(K$5/4),2)*INT(Bang_Tra_Cuu!$K$14/2)+MOD(INT(K$5/8),2)*INT(Bang_Tra_Cuu!$L$14/2),2)*2+MOD(MOD(K$5,2)*INT(Bang_Tra_Cuu!$I$14/4)+MOD(INT(K$5/2),2)*INT(Bang_Tra_Cuu!$J$14/4)+MOD(INT(K$5/4),2)*INT(Bang_Tra_Cuu!$K$14/4)+MOD(INT(K$5/8),2)*INT(Bang_Tra_Cuu!$L$14/4),2)*4+MOD(MOD(K$5,2)*INT(Bang_Tra_Cuu!$I$14/8)+MOD(INT(K$5/2),2)*INT(Bang_Tra_Cuu!$J$14/8)+MOD(INT(K$5/4),2)*INT(Bang_Tra_Cuu!$K$14/8)+MOD(INT(K$5/8),2)*INT(Bang_Tra_Cuu!$L$14/8),2)*8</f>
        <v/>
      </c>
      <c r="L15" s="14">
        <f>MOD(MOD(L$5,2)*INT(Bang_Tra_Cuu!$I$14/1)+MOD(INT(L$5/2),2)*INT(Bang_Tra_Cuu!$J$14/1)+MOD(INT(L$5/4),2)*INT(Bang_Tra_Cuu!$K$14/1)+MOD(INT(L$5/8),2)*INT(Bang_Tra_Cuu!$L$14/1),2)*1+MOD(MOD(L$5,2)*INT(Bang_Tra_Cuu!$I$14/2)+MOD(INT(L$5/2),2)*INT(Bang_Tra_Cuu!$J$14/2)+MOD(INT(L$5/4),2)*INT(Bang_Tra_Cuu!$K$14/2)+MOD(INT(L$5/8),2)*INT(Bang_Tra_Cuu!$L$14/2),2)*2+MOD(MOD(L$5,2)*INT(Bang_Tra_Cuu!$I$14/4)+MOD(INT(L$5/2),2)*INT(Bang_Tra_Cuu!$J$14/4)+MOD(INT(L$5/4),2)*INT(Bang_Tra_Cuu!$K$14/4)+MOD(INT(L$5/8),2)*INT(Bang_Tra_Cuu!$L$14/4),2)*4+MOD(MOD(L$5,2)*INT(Bang_Tra_Cuu!$I$14/8)+MOD(INT(L$5/2),2)*INT(Bang_Tra_Cuu!$J$14/8)+MOD(INT(L$5/4),2)*INT(Bang_Tra_Cuu!$K$14/8)+MOD(INT(L$5/8),2)*INT(Bang_Tra_Cuu!$L$14/8),2)*8</f>
        <v/>
      </c>
      <c r="M15" s="17">
        <f>MOD(MOD(M$5,2)*INT(Bang_Tra_Cuu!$I$14/1)+MOD(INT(M$5/2),2)*INT(Bang_Tra_Cuu!$J$14/1)+MOD(INT(M$5/4),2)*INT(Bang_Tra_Cuu!$K$14/1)+MOD(INT(M$5/8),2)*INT(Bang_Tra_Cuu!$L$14/1),2)*1+MOD(MOD(M$5,2)*INT(Bang_Tra_Cuu!$I$14/2)+MOD(INT(M$5/2),2)*INT(Bang_Tra_Cuu!$J$14/2)+MOD(INT(M$5/4),2)*INT(Bang_Tra_Cuu!$K$14/2)+MOD(INT(M$5/8),2)*INT(Bang_Tra_Cuu!$L$14/2),2)*2+MOD(MOD(M$5,2)*INT(Bang_Tra_Cuu!$I$14/4)+MOD(INT(M$5/2),2)*INT(Bang_Tra_Cuu!$J$14/4)+MOD(INT(M$5/4),2)*INT(Bang_Tra_Cuu!$K$14/4)+MOD(INT(M$5/8),2)*INT(Bang_Tra_Cuu!$L$14/4),2)*4+MOD(MOD(M$5,2)*INT(Bang_Tra_Cuu!$I$14/8)+MOD(INT(M$5/2),2)*INT(Bang_Tra_Cuu!$J$14/8)+MOD(INT(M$5/4),2)*INT(Bang_Tra_Cuu!$K$14/8)+MOD(INT(M$5/8),2)*INT(Bang_Tra_Cuu!$L$14/8),2)*8</f>
        <v/>
      </c>
      <c r="N15" s="14">
        <f>MOD(MOD(N$5,2)*INT(Bang_Tra_Cuu!$I$14/1)+MOD(INT(N$5/2),2)*INT(Bang_Tra_Cuu!$J$14/1)+MOD(INT(N$5/4),2)*INT(Bang_Tra_Cuu!$K$14/1)+MOD(INT(N$5/8),2)*INT(Bang_Tra_Cuu!$L$14/1),2)*1+MOD(MOD(N$5,2)*INT(Bang_Tra_Cuu!$I$14/2)+MOD(INT(N$5/2),2)*INT(Bang_Tra_Cuu!$J$14/2)+MOD(INT(N$5/4),2)*INT(Bang_Tra_Cuu!$K$14/2)+MOD(INT(N$5/8),2)*INT(Bang_Tra_Cuu!$L$14/2),2)*2+MOD(MOD(N$5,2)*INT(Bang_Tra_Cuu!$I$14/4)+MOD(INT(N$5/2),2)*INT(Bang_Tra_Cuu!$J$14/4)+MOD(INT(N$5/4),2)*INT(Bang_Tra_Cuu!$K$14/4)+MOD(INT(N$5/8),2)*INT(Bang_Tra_Cuu!$L$14/4),2)*4+MOD(MOD(N$5,2)*INT(Bang_Tra_Cuu!$I$14/8)+MOD(INT(N$5/2),2)*INT(Bang_Tra_Cuu!$J$14/8)+MOD(INT(N$5/4),2)*INT(Bang_Tra_Cuu!$K$14/8)+MOD(INT(N$5/8),2)*INT(Bang_Tra_Cuu!$L$14/8),2)*8</f>
        <v/>
      </c>
      <c r="O15" s="17">
        <f>MOD(MOD(O$5,2)*INT(Bang_Tra_Cuu!$I$14/1)+MOD(INT(O$5/2),2)*INT(Bang_Tra_Cuu!$J$14/1)+MOD(INT(O$5/4),2)*INT(Bang_Tra_Cuu!$K$14/1)+MOD(INT(O$5/8),2)*INT(Bang_Tra_Cuu!$L$14/1),2)*1+MOD(MOD(O$5,2)*INT(Bang_Tra_Cuu!$I$14/2)+MOD(INT(O$5/2),2)*INT(Bang_Tra_Cuu!$J$14/2)+MOD(INT(O$5/4),2)*INT(Bang_Tra_Cuu!$K$14/2)+MOD(INT(O$5/8),2)*INT(Bang_Tra_Cuu!$L$14/2),2)*2+MOD(MOD(O$5,2)*INT(Bang_Tra_Cuu!$I$14/4)+MOD(INT(O$5/2),2)*INT(Bang_Tra_Cuu!$J$14/4)+MOD(INT(O$5/4),2)*INT(Bang_Tra_Cuu!$K$14/4)+MOD(INT(O$5/8),2)*INT(Bang_Tra_Cuu!$L$14/4),2)*4+MOD(MOD(O$5,2)*INT(Bang_Tra_Cuu!$I$14/8)+MOD(INT(O$5/2),2)*INT(Bang_Tra_Cuu!$J$14/8)+MOD(INT(O$5/4),2)*INT(Bang_Tra_Cuu!$K$14/8)+MOD(INT(O$5/8),2)*INT(Bang_Tra_Cuu!$L$14/8),2)*8</f>
        <v/>
      </c>
      <c r="P15" s="14">
        <f>MOD(MOD(P$5,2)*INT(Bang_Tra_Cuu!$I$14/1)+MOD(INT(P$5/2),2)*INT(Bang_Tra_Cuu!$J$14/1)+MOD(INT(P$5/4),2)*INT(Bang_Tra_Cuu!$K$14/1)+MOD(INT(P$5/8),2)*INT(Bang_Tra_Cuu!$L$14/1),2)*1+MOD(MOD(P$5,2)*INT(Bang_Tra_Cuu!$I$14/2)+MOD(INT(P$5/2),2)*INT(Bang_Tra_Cuu!$J$14/2)+MOD(INT(P$5/4),2)*INT(Bang_Tra_Cuu!$K$14/2)+MOD(INT(P$5/8),2)*INT(Bang_Tra_Cuu!$L$14/2),2)*2+MOD(MOD(P$5,2)*INT(Bang_Tra_Cuu!$I$14/4)+MOD(INT(P$5/2),2)*INT(Bang_Tra_Cuu!$J$14/4)+MOD(INT(P$5/4),2)*INT(Bang_Tra_Cuu!$K$14/4)+MOD(INT(P$5/8),2)*INT(Bang_Tra_Cuu!$L$14/4),2)*4+MOD(MOD(P$5,2)*INT(Bang_Tra_Cuu!$I$14/8)+MOD(INT(P$5/2),2)*INT(Bang_Tra_Cuu!$J$14/8)+MOD(INT(P$5/4),2)*INT(Bang_Tra_Cuu!$K$14/8)+MOD(INT(P$5/8),2)*INT(Bang_Tra_Cuu!$L$14/8),2)*8</f>
        <v/>
      </c>
      <c r="Q15" s="17">
        <f>MOD(MOD(Q$5,2)*INT(Bang_Tra_Cuu!$I$14/1)+MOD(INT(Q$5/2),2)*INT(Bang_Tra_Cuu!$J$14/1)+MOD(INT(Q$5/4),2)*INT(Bang_Tra_Cuu!$K$14/1)+MOD(INT(Q$5/8),2)*INT(Bang_Tra_Cuu!$L$14/1),2)*1+MOD(MOD(Q$5,2)*INT(Bang_Tra_Cuu!$I$14/2)+MOD(INT(Q$5/2),2)*INT(Bang_Tra_Cuu!$J$14/2)+MOD(INT(Q$5/4),2)*INT(Bang_Tra_Cuu!$K$14/2)+MOD(INT(Q$5/8),2)*INT(Bang_Tra_Cuu!$L$14/2),2)*2+MOD(MOD(Q$5,2)*INT(Bang_Tra_Cuu!$I$14/4)+MOD(INT(Q$5/2),2)*INT(Bang_Tra_Cuu!$J$14/4)+MOD(INT(Q$5/4),2)*INT(Bang_Tra_Cuu!$K$14/4)+MOD(INT(Q$5/8),2)*INT(Bang_Tra_Cuu!$L$14/4),2)*4+MOD(MOD(Q$5,2)*INT(Bang_Tra_Cuu!$I$14/8)+MOD(INT(Q$5/2),2)*INT(Bang_Tra_Cuu!$J$14/8)+MOD(INT(Q$5/4),2)*INT(Bang_Tra_Cuu!$K$14/8)+MOD(INT(Q$5/8),2)*INT(Bang_Tra_Cuu!$L$14/8),2)*8</f>
        <v/>
      </c>
      <c r="R15" s="14">
        <f>MOD(MOD(R$5,2)*INT(Bang_Tra_Cuu!$I$14/1)+MOD(INT(R$5/2),2)*INT(Bang_Tra_Cuu!$J$14/1)+MOD(INT(R$5/4),2)*INT(Bang_Tra_Cuu!$K$14/1)+MOD(INT(R$5/8),2)*INT(Bang_Tra_Cuu!$L$14/1),2)*1+MOD(MOD(R$5,2)*INT(Bang_Tra_Cuu!$I$14/2)+MOD(INT(R$5/2),2)*INT(Bang_Tra_Cuu!$J$14/2)+MOD(INT(R$5/4),2)*INT(Bang_Tra_Cuu!$K$14/2)+MOD(INT(R$5/8),2)*INT(Bang_Tra_Cuu!$L$14/2),2)*2+MOD(MOD(R$5,2)*INT(Bang_Tra_Cuu!$I$14/4)+MOD(INT(R$5/2),2)*INT(Bang_Tra_Cuu!$J$14/4)+MOD(INT(R$5/4),2)*INT(Bang_Tra_Cuu!$K$14/4)+MOD(INT(R$5/8),2)*INT(Bang_Tra_Cuu!$L$14/4),2)*4+MOD(MOD(R$5,2)*INT(Bang_Tra_Cuu!$I$14/8)+MOD(INT(R$5/2),2)*INT(Bang_Tra_Cuu!$J$14/8)+MOD(INT(R$5/4),2)*INT(Bang_Tra_Cuu!$K$14/8)+MOD(INT(R$5/8),2)*INT(Bang_Tra_Cuu!$L$14/8),2)*8</f>
        <v/>
      </c>
      <c r="T15" s="17" t="n">
        <v>9</v>
      </c>
      <c r="U15" s="19" t="inlineStr">
        <is>
          <t>x^3 + 1</t>
        </is>
      </c>
      <c r="V15" s="17">
        <f>COUNTIF($C$6:$R$21, T15)</f>
        <v/>
      </c>
      <c r="W15" s="17">
        <f>COUNTIF($D$7:$R$21, T15)</f>
        <v/>
      </c>
    </row>
    <row r="16" ht="20" customHeight="1">
      <c r="A16" s="30" t="n">
        <v>10</v>
      </c>
      <c r="B16" s="31" t="inlineStr">
        <is>
          <t>x^3 + x</t>
        </is>
      </c>
      <c r="C16" s="14">
        <f>MOD(MOD(C$5,2)*INT(Bang_Tra_Cuu!$I$15/1)+MOD(INT(C$5/2),2)*INT(Bang_Tra_Cuu!$J$15/1)+MOD(INT(C$5/4),2)*INT(Bang_Tra_Cuu!$K$15/1)+MOD(INT(C$5/8),2)*INT(Bang_Tra_Cuu!$L$15/1),2)*1+MOD(MOD(C$5,2)*INT(Bang_Tra_Cuu!$I$15/2)+MOD(INT(C$5/2),2)*INT(Bang_Tra_Cuu!$J$15/2)+MOD(INT(C$5/4),2)*INT(Bang_Tra_Cuu!$K$15/2)+MOD(INT(C$5/8),2)*INT(Bang_Tra_Cuu!$L$15/2),2)*2+MOD(MOD(C$5,2)*INT(Bang_Tra_Cuu!$I$15/4)+MOD(INT(C$5/2),2)*INT(Bang_Tra_Cuu!$J$15/4)+MOD(INT(C$5/4),2)*INT(Bang_Tra_Cuu!$K$15/4)+MOD(INT(C$5/8),2)*INT(Bang_Tra_Cuu!$L$15/4),2)*4+MOD(MOD(C$5,2)*INT(Bang_Tra_Cuu!$I$15/8)+MOD(INT(C$5/2),2)*INT(Bang_Tra_Cuu!$J$15/8)+MOD(INT(C$5/4),2)*INT(Bang_Tra_Cuu!$K$15/8)+MOD(INT(C$5/8),2)*INT(Bang_Tra_Cuu!$L$15/8),2)*8</f>
        <v/>
      </c>
      <c r="D16" s="17">
        <f>MOD(MOD(D$5,2)*INT(Bang_Tra_Cuu!$I$15/1)+MOD(INT(D$5/2),2)*INT(Bang_Tra_Cuu!$J$15/1)+MOD(INT(D$5/4),2)*INT(Bang_Tra_Cuu!$K$15/1)+MOD(INT(D$5/8),2)*INT(Bang_Tra_Cuu!$L$15/1),2)*1+MOD(MOD(D$5,2)*INT(Bang_Tra_Cuu!$I$15/2)+MOD(INT(D$5/2),2)*INT(Bang_Tra_Cuu!$J$15/2)+MOD(INT(D$5/4),2)*INT(Bang_Tra_Cuu!$K$15/2)+MOD(INT(D$5/8),2)*INT(Bang_Tra_Cuu!$L$15/2),2)*2+MOD(MOD(D$5,2)*INT(Bang_Tra_Cuu!$I$15/4)+MOD(INT(D$5/2),2)*INT(Bang_Tra_Cuu!$J$15/4)+MOD(INT(D$5/4),2)*INT(Bang_Tra_Cuu!$K$15/4)+MOD(INT(D$5/8),2)*INT(Bang_Tra_Cuu!$L$15/4),2)*4+MOD(MOD(D$5,2)*INT(Bang_Tra_Cuu!$I$15/8)+MOD(INT(D$5/2),2)*INT(Bang_Tra_Cuu!$J$15/8)+MOD(INT(D$5/4),2)*INT(Bang_Tra_Cuu!$K$15/8)+MOD(INT(D$5/8),2)*INT(Bang_Tra_Cuu!$L$15/8),2)*8</f>
        <v/>
      </c>
      <c r="E16" s="14">
        <f>MOD(MOD(E$5,2)*INT(Bang_Tra_Cuu!$I$15/1)+MOD(INT(E$5/2),2)*INT(Bang_Tra_Cuu!$J$15/1)+MOD(INT(E$5/4),2)*INT(Bang_Tra_Cuu!$K$15/1)+MOD(INT(E$5/8),2)*INT(Bang_Tra_Cuu!$L$15/1),2)*1+MOD(MOD(E$5,2)*INT(Bang_Tra_Cuu!$I$15/2)+MOD(INT(E$5/2),2)*INT(Bang_Tra_Cuu!$J$15/2)+MOD(INT(E$5/4),2)*INT(Bang_Tra_Cuu!$K$15/2)+MOD(INT(E$5/8),2)*INT(Bang_Tra_Cuu!$L$15/2),2)*2+MOD(MOD(E$5,2)*INT(Bang_Tra_Cuu!$I$15/4)+MOD(INT(E$5/2),2)*INT(Bang_Tra_Cuu!$J$15/4)+MOD(INT(E$5/4),2)*INT(Bang_Tra_Cuu!$K$15/4)+MOD(INT(E$5/8),2)*INT(Bang_Tra_Cuu!$L$15/4),2)*4+MOD(MOD(E$5,2)*INT(Bang_Tra_Cuu!$I$15/8)+MOD(INT(E$5/2),2)*INT(Bang_Tra_Cuu!$J$15/8)+MOD(INT(E$5/4),2)*INT(Bang_Tra_Cuu!$K$15/8)+MOD(INT(E$5/8),2)*INT(Bang_Tra_Cuu!$L$15/8),2)*8</f>
        <v/>
      </c>
      <c r="F16" s="17">
        <f>MOD(MOD(F$5,2)*INT(Bang_Tra_Cuu!$I$15/1)+MOD(INT(F$5/2),2)*INT(Bang_Tra_Cuu!$J$15/1)+MOD(INT(F$5/4),2)*INT(Bang_Tra_Cuu!$K$15/1)+MOD(INT(F$5/8),2)*INT(Bang_Tra_Cuu!$L$15/1),2)*1+MOD(MOD(F$5,2)*INT(Bang_Tra_Cuu!$I$15/2)+MOD(INT(F$5/2),2)*INT(Bang_Tra_Cuu!$J$15/2)+MOD(INT(F$5/4),2)*INT(Bang_Tra_Cuu!$K$15/2)+MOD(INT(F$5/8),2)*INT(Bang_Tra_Cuu!$L$15/2),2)*2+MOD(MOD(F$5,2)*INT(Bang_Tra_Cuu!$I$15/4)+MOD(INT(F$5/2),2)*INT(Bang_Tra_Cuu!$J$15/4)+MOD(INT(F$5/4),2)*INT(Bang_Tra_Cuu!$K$15/4)+MOD(INT(F$5/8),2)*INT(Bang_Tra_Cuu!$L$15/4),2)*4+MOD(MOD(F$5,2)*INT(Bang_Tra_Cuu!$I$15/8)+MOD(INT(F$5/2),2)*INT(Bang_Tra_Cuu!$J$15/8)+MOD(INT(F$5/4),2)*INT(Bang_Tra_Cuu!$K$15/8)+MOD(INT(F$5/8),2)*INT(Bang_Tra_Cuu!$L$15/8),2)*8</f>
        <v/>
      </c>
      <c r="G16" s="14">
        <f>MOD(MOD(G$5,2)*INT(Bang_Tra_Cuu!$I$15/1)+MOD(INT(G$5/2),2)*INT(Bang_Tra_Cuu!$J$15/1)+MOD(INT(G$5/4),2)*INT(Bang_Tra_Cuu!$K$15/1)+MOD(INT(G$5/8),2)*INT(Bang_Tra_Cuu!$L$15/1),2)*1+MOD(MOD(G$5,2)*INT(Bang_Tra_Cuu!$I$15/2)+MOD(INT(G$5/2),2)*INT(Bang_Tra_Cuu!$J$15/2)+MOD(INT(G$5/4),2)*INT(Bang_Tra_Cuu!$K$15/2)+MOD(INT(G$5/8),2)*INT(Bang_Tra_Cuu!$L$15/2),2)*2+MOD(MOD(G$5,2)*INT(Bang_Tra_Cuu!$I$15/4)+MOD(INT(G$5/2),2)*INT(Bang_Tra_Cuu!$J$15/4)+MOD(INT(G$5/4),2)*INT(Bang_Tra_Cuu!$K$15/4)+MOD(INT(G$5/8),2)*INT(Bang_Tra_Cuu!$L$15/4),2)*4+MOD(MOD(G$5,2)*INT(Bang_Tra_Cuu!$I$15/8)+MOD(INT(G$5/2),2)*INT(Bang_Tra_Cuu!$J$15/8)+MOD(INT(G$5/4),2)*INT(Bang_Tra_Cuu!$K$15/8)+MOD(INT(G$5/8),2)*INT(Bang_Tra_Cuu!$L$15/8),2)*8</f>
        <v/>
      </c>
      <c r="H16" s="17">
        <f>MOD(MOD(H$5,2)*INT(Bang_Tra_Cuu!$I$15/1)+MOD(INT(H$5/2),2)*INT(Bang_Tra_Cuu!$J$15/1)+MOD(INT(H$5/4),2)*INT(Bang_Tra_Cuu!$K$15/1)+MOD(INT(H$5/8),2)*INT(Bang_Tra_Cuu!$L$15/1),2)*1+MOD(MOD(H$5,2)*INT(Bang_Tra_Cuu!$I$15/2)+MOD(INT(H$5/2),2)*INT(Bang_Tra_Cuu!$J$15/2)+MOD(INT(H$5/4),2)*INT(Bang_Tra_Cuu!$K$15/2)+MOD(INT(H$5/8),2)*INT(Bang_Tra_Cuu!$L$15/2),2)*2+MOD(MOD(H$5,2)*INT(Bang_Tra_Cuu!$I$15/4)+MOD(INT(H$5/2),2)*INT(Bang_Tra_Cuu!$J$15/4)+MOD(INT(H$5/4),2)*INT(Bang_Tra_Cuu!$K$15/4)+MOD(INT(H$5/8),2)*INT(Bang_Tra_Cuu!$L$15/4),2)*4+MOD(MOD(H$5,2)*INT(Bang_Tra_Cuu!$I$15/8)+MOD(INT(H$5/2),2)*INT(Bang_Tra_Cuu!$J$15/8)+MOD(INT(H$5/4),2)*INT(Bang_Tra_Cuu!$K$15/8)+MOD(INT(H$5/8),2)*INT(Bang_Tra_Cuu!$L$15/8),2)*8</f>
        <v/>
      </c>
      <c r="I16" s="14">
        <f>MOD(MOD(I$5,2)*INT(Bang_Tra_Cuu!$I$15/1)+MOD(INT(I$5/2),2)*INT(Bang_Tra_Cuu!$J$15/1)+MOD(INT(I$5/4),2)*INT(Bang_Tra_Cuu!$K$15/1)+MOD(INT(I$5/8),2)*INT(Bang_Tra_Cuu!$L$15/1),2)*1+MOD(MOD(I$5,2)*INT(Bang_Tra_Cuu!$I$15/2)+MOD(INT(I$5/2),2)*INT(Bang_Tra_Cuu!$J$15/2)+MOD(INT(I$5/4),2)*INT(Bang_Tra_Cuu!$K$15/2)+MOD(INT(I$5/8),2)*INT(Bang_Tra_Cuu!$L$15/2),2)*2+MOD(MOD(I$5,2)*INT(Bang_Tra_Cuu!$I$15/4)+MOD(INT(I$5/2),2)*INT(Bang_Tra_Cuu!$J$15/4)+MOD(INT(I$5/4),2)*INT(Bang_Tra_Cuu!$K$15/4)+MOD(INT(I$5/8),2)*INT(Bang_Tra_Cuu!$L$15/4),2)*4+MOD(MOD(I$5,2)*INT(Bang_Tra_Cuu!$I$15/8)+MOD(INT(I$5/2),2)*INT(Bang_Tra_Cuu!$J$15/8)+MOD(INT(I$5/4),2)*INT(Bang_Tra_Cuu!$K$15/8)+MOD(INT(I$5/8),2)*INT(Bang_Tra_Cuu!$L$15/8),2)*8</f>
        <v/>
      </c>
      <c r="J16" s="17">
        <f>MOD(MOD(J$5,2)*INT(Bang_Tra_Cuu!$I$15/1)+MOD(INT(J$5/2),2)*INT(Bang_Tra_Cuu!$J$15/1)+MOD(INT(J$5/4),2)*INT(Bang_Tra_Cuu!$K$15/1)+MOD(INT(J$5/8),2)*INT(Bang_Tra_Cuu!$L$15/1),2)*1+MOD(MOD(J$5,2)*INT(Bang_Tra_Cuu!$I$15/2)+MOD(INT(J$5/2),2)*INT(Bang_Tra_Cuu!$J$15/2)+MOD(INT(J$5/4),2)*INT(Bang_Tra_Cuu!$K$15/2)+MOD(INT(J$5/8),2)*INT(Bang_Tra_Cuu!$L$15/2),2)*2+MOD(MOD(J$5,2)*INT(Bang_Tra_Cuu!$I$15/4)+MOD(INT(J$5/2),2)*INT(Bang_Tra_Cuu!$J$15/4)+MOD(INT(J$5/4),2)*INT(Bang_Tra_Cuu!$K$15/4)+MOD(INT(J$5/8),2)*INT(Bang_Tra_Cuu!$L$15/4),2)*4+MOD(MOD(J$5,2)*INT(Bang_Tra_Cuu!$I$15/8)+MOD(INT(J$5/2),2)*INT(Bang_Tra_Cuu!$J$15/8)+MOD(INT(J$5/4),2)*INT(Bang_Tra_Cuu!$K$15/8)+MOD(INT(J$5/8),2)*INT(Bang_Tra_Cuu!$L$15/8),2)*8</f>
        <v/>
      </c>
      <c r="K16" s="14">
        <f>MOD(MOD(K$5,2)*INT(Bang_Tra_Cuu!$I$15/1)+MOD(INT(K$5/2),2)*INT(Bang_Tra_Cuu!$J$15/1)+MOD(INT(K$5/4),2)*INT(Bang_Tra_Cuu!$K$15/1)+MOD(INT(K$5/8),2)*INT(Bang_Tra_Cuu!$L$15/1),2)*1+MOD(MOD(K$5,2)*INT(Bang_Tra_Cuu!$I$15/2)+MOD(INT(K$5/2),2)*INT(Bang_Tra_Cuu!$J$15/2)+MOD(INT(K$5/4),2)*INT(Bang_Tra_Cuu!$K$15/2)+MOD(INT(K$5/8),2)*INT(Bang_Tra_Cuu!$L$15/2),2)*2+MOD(MOD(K$5,2)*INT(Bang_Tra_Cuu!$I$15/4)+MOD(INT(K$5/2),2)*INT(Bang_Tra_Cuu!$J$15/4)+MOD(INT(K$5/4),2)*INT(Bang_Tra_Cuu!$K$15/4)+MOD(INT(K$5/8),2)*INT(Bang_Tra_Cuu!$L$15/4),2)*4+MOD(MOD(K$5,2)*INT(Bang_Tra_Cuu!$I$15/8)+MOD(INT(K$5/2),2)*INT(Bang_Tra_Cuu!$J$15/8)+MOD(INT(K$5/4),2)*INT(Bang_Tra_Cuu!$K$15/8)+MOD(INT(K$5/8),2)*INT(Bang_Tra_Cuu!$L$15/8),2)*8</f>
        <v/>
      </c>
      <c r="L16" s="17">
        <f>MOD(MOD(L$5,2)*INT(Bang_Tra_Cuu!$I$15/1)+MOD(INT(L$5/2),2)*INT(Bang_Tra_Cuu!$J$15/1)+MOD(INT(L$5/4),2)*INT(Bang_Tra_Cuu!$K$15/1)+MOD(INT(L$5/8),2)*INT(Bang_Tra_Cuu!$L$15/1),2)*1+MOD(MOD(L$5,2)*INT(Bang_Tra_Cuu!$I$15/2)+MOD(INT(L$5/2),2)*INT(Bang_Tra_Cuu!$J$15/2)+MOD(INT(L$5/4),2)*INT(Bang_Tra_Cuu!$K$15/2)+MOD(INT(L$5/8),2)*INT(Bang_Tra_Cuu!$L$15/2),2)*2+MOD(MOD(L$5,2)*INT(Bang_Tra_Cuu!$I$15/4)+MOD(INT(L$5/2),2)*INT(Bang_Tra_Cuu!$J$15/4)+MOD(INT(L$5/4),2)*INT(Bang_Tra_Cuu!$K$15/4)+MOD(INT(L$5/8),2)*INT(Bang_Tra_Cuu!$L$15/4),2)*4+MOD(MOD(L$5,2)*INT(Bang_Tra_Cuu!$I$15/8)+MOD(INT(L$5/2),2)*INT(Bang_Tra_Cuu!$J$15/8)+MOD(INT(L$5/4),2)*INT(Bang_Tra_Cuu!$K$15/8)+MOD(INT(L$5/8),2)*INT(Bang_Tra_Cuu!$L$15/8),2)*8</f>
        <v/>
      </c>
      <c r="M16" s="14">
        <f>MOD(MOD(M$5,2)*INT(Bang_Tra_Cuu!$I$15/1)+MOD(INT(M$5/2),2)*INT(Bang_Tra_Cuu!$J$15/1)+MOD(INT(M$5/4),2)*INT(Bang_Tra_Cuu!$K$15/1)+MOD(INT(M$5/8),2)*INT(Bang_Tra_Cuu!$L$15/1),2)*1+MOD(MOD(M$5,2)*INT(Bang_Tra_Cuu!$I$15/2)+MOD(INT(M$5/2),2)*INT(Bang_Tra_Cuu!$J$15/2)+MOD(INT(M$5/4),2)*INT(Bang_Tra_Cuu!$K$15/2)+MOD(INT(M$5/8),2)*INT(Bang_Tra_Cuu!$L$15/2),2)*2+MOD(MOD(M$5,2)*INT(Bang_Tra_Cuu!$I$15/4)+MOD(INT(M$5/2),2)*INT(Bang_Tra_Cuu!$J$15/4)+MOD(INT(M$5/4),2)*INT(Bang_Tra_Cuu!$K$15/4)+MOD(INT(M$5/8),2)*INT(Bang_Tra_Cuu!$L$15/4),2)*4+MOD(MOD(M$5,2)*INT(Bang_Tra_Cuu!$I$15/8)+MOD(INT(M$5/2),2)*INT(Bang_Tra_Cuu!$J$15/8)+MOD(INT(M$5/4),2)*INT(Bang_Tra_Cuu!$K$15/8)+MOD(INT(M$5/8),2)*INT(Bang_Tra_Cuu!$L$15/8),2)*8</f>
        <v/>
      </c>
      <c r="N16" s="17">
        <f>MOD(MOD(N$5,2)*INT(Bang_Tra_Cuu!$I$15/1)+MOD(INT(N$5/2),2)*INT(Bang_Tra_Cuu!$J$15/1)+MOD(INT(N$5/4),2)*INT(Bang_Tra_Cuu!$K$15/1)+MOD(INT(N$5/8),2)*INT(Bang_Tra_Cuu!$L$15/1),2)*1+MOD(MOD(N$5,2)*INT(Bang_Tra_Cuu!$I$15/2)+MOD(INT(N$5/2),2)*INT(Bang_Tra_Cuu!$J$15/2)+MOD(INT(N$5/4),2)*INT(Bang_Tra_Cuu!$K$15/2)+MOD(INT(N$5/8),2)*INT(Bang_Tra_Cuu!$L$15/2),2)*2+MOD(MOD(N$5,2)*INT(Bang_Tra_Cuu!$I$15/4)+MOD(INT(N$5/2),2)*INT(Bang_Tra_Cuu!$J$15/4)+MOD(INT(N$5/4),2)*INT(Bang_Tra_Cuu!$K$15/4)+MOD(INT(N$5/8),2)*INT(Bang_Tra_Cuu!$L$15/4),2)*4+MOD(MOD(N$5,2)*INT(Bang_Tra_Cuu!$I$15/8)+MOD(INT(N$5/2),2)*INT(Bang_Tra_Cuu!$J$15/8)+MOD(INT(N$5/4),2)*INT(Bang_Tra_Cuu!$K$15/8)+MOD(INT(N$5/8),2)*INT(Bang_Tra_Cuu!$L$15/8),2)*8</f>
        <v/>
      </c>
      <c r="O16" s="14">
        <f>MOD(MOD(O$5,2)*INT(Bang_Tra_Cuu!$I$15/1)+MOD(INT(O$5/2),2)*INT(Bang_Tra_Cuu!$J$15/1)+MOD(INT(O$5/4),2)*INT(Bang_Tra_Cuu!$K$15/1)+MOD(INT(O$5/8),2)*INT(Bang_Tra_Cuu!$L$15/1),2)*1+MOD(MOD(O$5,2)*INT(Bang_Tra_Cuu!$I$15/2)+MOD(INT(O$5/2),2)*INT(Bang_Tra_Cuu!$J$15/2)+MOD(INT(O$5/4),2)*INT(Bang_Tra_Cuu!$K$15/2)+MOD(INT(O$5/8),2)*INT(Bang_Tra_Cuu!$L$15/2),2)*2+MOD(MOD(O$5,2)*INT(Bang_Tra_Cuu!$I$15/4)+MOD(INT(O$5/2),2)*INT(Bang_Tra_Cuu!$J$15/4)+MOD(INT(O$5/4),2)*INT(Bang_Tra_Cuu!$K$15/4)+MOD(INT(O$5/8),2)*INT(Bang_Tra_Cuu!$L$15/4),2)*4+MOD(MOD(O$5,2)*INT(Bang_Tra_Cuu!$I$15/8)+MOD(INT(O$5/2),2)*INT(Bang_Tra_Cuu!$J$15/8)+MOD(INT(O$5/4),2)*INT(Bang_Tra_Cuu!$K$15/8)+MOD(INT(O$5/8),2)*INT(Bang_Tra_Cuu!$L$15/8),2)*8</f>
        <v/>
      </c>
      <c r="P16" s="17">
        <f>MOD(MOD(P$5,2)*INT(Bang_Tra_Cuu!$I$15/1)+MOD(INT(P$5/2),2)*INT(Bang_Tra_Cuu!$J$15/1)+MOD(INT(P$5/4),2)*INT(Bang_Tra_Cuu!$K$15/1)+MOD(INT(P$5/8),2)*INT(Bang_Tra_Cuu!$L$15/1),2)*1+MOD(MOD(P$5,2)*INT(Bang_Tra_Cuu!$I$15/2)+MOD(INT(P$5/2),2)*INT(Bang_Tra_Cuu!$J$15/2)+MOD(INT(P$5/4),2)*INT(Bang_Tra_Cuu!$K$15/2)+MOD(INT(P$5/8),2)*INT(Bang_Tra_Cuu!$L$15/2),2)*2+MOD(MOD(P$5,2)*INT(Bang_Tra_Cuu!$I$15/4)+MOD(INT(P$5/2),2)*INT(Bang_Tra_Cuu!$J$15/4)+MOD(INT(P$5/4),2)*INT(Bang_Tra_Cuu!$K$15/4)+MOD(INT(P$5/8),2)*INT(Bang_Tra_Cuu!$L$15/4),2)*4+MOD(MOD(P$5,2)*INT(Bang_Tra_Cuu!$I$15/8)+MOD(INT(P$5/2),2)*INT(Bang_Tra_Cuu!$J$15/8)+MOD(INT(P$5/4),2)*INT(Bang_Tra_Cuu!$K$15/8)+MOD(INT(P$5/8),2)*INT(Bang_Tra_Cuu!$L$15/8),2)*8</f>
        <v/>
      </c>
      <c r="Q16" s="14">
        <f>MOD(MOD(Q$5,2)*INT(Bang_Tra_Cuu!$I$15/1)+MOD(INT(Q$5/2),2)*INT(Bang_Tra_Cuu!$J$15/1)+MOD(INT(Q$5/4),2)*INT(Bang_Tra_Cuu!$K$15/1)+MOD(INT(Q$5/8),2)*INT(Bang_Tra_Cuu!$L$15/1),2)*1+MOD(MOD(Q$5,2)*INT(Bang_Tra_Cuu!$I$15/2)+MOD(INT(Q$5/2),2)*INT(Bang_Tra_Cuu!$J$15/2)+MOD(INT(Q$5/4),2)*INT(Bang_Tra_Cuu!$K$15/2)+MOD(INT(Q$5/8),2)*INT(Bang_Tra_Cuu!$L$15/2),2)*2+MOD(MOD(Q$5,2)*INT(Bang_Tra_Cuu!$I$15/4)+MOD(INT(Q$5/2),2)*INT(Bang_Tra_Cuu!$J$15/4)+MOD(INT(Q$5/4),2)*INT(Bang_Tra_Cuu!$K$15/4)+MOD(INT(Q$5/8),2)*INT(Bang_Tra_Cuu!$L$15/4),2)*4+MOD(MOD(Q$5,2)*INT(Bang_Tra_Cuu!$I$15/8)+MOD(INT(Q$5/2),2)*INT(Bang_Tra_Cuu!$J$15/8)+MOD(INT(Q$5/4),2)*INT(Bang_Tra_Cuu!$K$15/8)+MOD(INT(Q$5/8),2)*INT(Bang_Tra_Cuu!$L$15/8),2)*8</f>
        <v/>
      </c>
      <c r="R16" s="17">
        <f>MOD(MOD(R$5,2)*INT(Bang_Tra_Cuu!$I$15/1)+MOD(INT(R$5/2),2)*INT(Bang_Tra_Cuu!$J$15/1)+MOD(INT(R$5/4),2)*INT(Bang_Tra_Cuu!$K$15/1)+MOD(INT(R$5/8),2)*INT(Bang_Tra_Cuu!$L$15/1),2)*1+MOD(MOD(R$5,2)*INT(Bang_Tra_Cuu!$I$15/2)+MOD(INT(R$5/2),2)*INT(Bang_Tra_Cuu!$J$15/2)+MOD(INT(R$5/4),2)*INT(Bang_Tra_Cuu!$K$15/2)+MOD(INT(R$5/8),2)*INT(Bang_Tra_Cuu!$L$15/2),2)*2+MOD(MOD(R$5,2)*INT(Bang_Tra_Cuu!$I$15/4)+MOD(INT(R$5/2),2)*INT(Bang_Tra_Cuu!$J$15/4)+MOD(INT(R$5/4),2)*INT(Bang_Tra_Cuu!$K$15/4)+MOD(INT(R$5/8),2)*INT(Bang_Tra_Cuu!$L$15/4),2)*4+MOD(MOD(R$5,2)*INT(Bang_Tra_Cuu!$I$15/8)+MOD(INT(R$5/2),2)*INT(Bang_Tra_Cuu!$J$15/8)+MOD(INT(R$5/4),2)*INT(Bang_Tra_Cuu!$K$15/8)+MOD(INT(R$5/8),2)*INT(Bang_Tra_Cuu!$L$15/8),2)*8</f>
        <v/>
      </c>
      <c r="T16" s="14" t="n">
        <v>10</v>
      </c>
      <c r="U16" s="6" t="inlineStr">
        <is>
          <t>x^3 + x</t>
        </is>
      </c>
      <c r="V16" s="14">
        <f>COUNTIF($C$6:$R$21, T16)</f>
        <v/>
      </c>
      <c r="W16" s="14">
        <f>COUNTIF($D$7:$R$21, T16)</f>
        <v/>
      </c>
    </row>
    <row r="17" ht="20" customHeight="1">
      <c r="A17" s="30" t="n">
        <v>11</v>
      </c>
      <c r="B17" s="31" t="inlineStr">
        <is>
          <t>x^3 + x + 1</t>
        </is>
      </c>
      <c r="C17" s="17">
        <f>MOD(MOD(C$5,2)*INT(Bang_Tra_Cuu!$I$16/1)+MOD(INT(C$5/2),2)*INT(Bang_Tra_Cuu!$J$16/1)+MOD(INT(C$5/4),2)*INT(Bang_Tra_Cuu!$K$16/1)+MOD(INT(C$5/8),2)*INT(Bang_Tra_Cuu!$L$16/1),2)*1+MOD(MOD(C$5,2)*INT(Bang_Tra_Cuu!$I$16/2)+MOD(INT(C$5/2),2)*INT(Bang_Tra_Cuu!$J$16/2)+MOD(INT(C$5/4),2)*INT(Bang_Tra_Cuu!$K$16/2)+MOD(INT(C$5/8),2)*INT(Bang_Tra_Cuu!$L$16/2),2)*2+MOD(MOD(C$5,2)*INT(Bang_Tra_Cuu!$I$16/4)+MOD(INT(C$5/2),2)*INT(Bang_Tra_Cuu!$J$16/4)+MOD(INT(C$5/4),2)*INT(Bang_Tra_Cuu!$K$16/4)+MOD(INT(C$5/8),2)*INT(Bang_Tra_Cuu!$L$16/4),2)*4+MOD(MOD(C$5,2)*INT(Bang_Tra_Cuu!$I$16/8)+MOD(INT(C$5/2),2)*INT(Bang_Tra_Cuu!$J$16/8)+MOD(INT(C$5/4),2)*INT(Bang_Tra_Cuu!$K$16/8)+MOD(INT(C$5/8),2)*INT(Bang_Tra_Cuu!$L$16/8),2)*8</f>
        <v/>
      </c>
      <c r="D17" s="14">
        <f>MOD(MOD(D$5,2)*INT(Bang_Tra_Cuu!$I$16/1)+MOD(INT(D$5/2),2)*INT(Bang_Tra_Cuu!$J$16/1)+MOD(INT(D$5/4),2)*INT(Bang_Tra_Cuu!$K$16/1)+MOD(INT(D$5/8),2)*INT(Bang_Tra_Cuu!$L$16/1),2)*1+MOD(MOD(D$5,2)*INT(Bang_Tra_Cuu!$I$16/2)+MOD(INT(D$5/2),2)*INT(Bang_Tra_Cuu!$J$16/2)+MOD(INT(D$5/4),2)*INT(Bang_Tra_Cuu!$K$16/2)+MOD(INT(D$5/8),2)*INT(Bang_Tra_Cuu!$L$16/2),2)*2+MOD(MOD(D$5,2)*INT(Bang_Tra_Cuu!$I$16/4)+MOD(INT(D$5/2),2)*INT(Bang_Tra_Cuu!$J$16/4)+MOD(INT(D$5/4),2)*INT(Bang_Tra_Cuu!$K$16/4)+MOD(INT(D$5/8),2)*INT(Bang_Tra_Cuu!$L$16/4),2)*4+MOD(MOD(D$5,2)*INT(Bang_Tra_Cuu!$I$16/8)+MOD(INT(D$5/2),2)*INT(Bang_Tra_Cuu!$J$16/8)+MOD(INT(D$5/4),2)*INT(Bang_Tra_Cuu!$K$16/8)+MOD(INT(D$5/8),2)*INT(Bang_Tra_Cuu!$L$16/8),2)*8</f>
        <v/>
      </c>
      <c r="E17" s="17">
        <f>MOD(MOD(E$5,2)*INT(Bang_Tra_Cuu!$I$16/1)+MOD(INT(E$5/2),2)*INT(Bang_Tra_Cuu!$J$16/1)+MOD(INT(E$5/4),2)*INT(Bang_Tra_Cuu!$K$16/1)+MOD(INT(E$5/8),2)*INT(Bang_Tra_Cuu!$L$16/1),2)*1+MOD(MOD(E$5,2)*INT(Bang_Tra_Cuu!$I$16/2)+MOD(INT(E$5/2),2)*INT(Bang_Tra_Cuu!$J$16/2)+MOD(INT(E$5/4),2)*INT(Bang_Tra_Cuu!$K$16/2)+MOD(INT(E$5/8),2)*INT(Bang_Tra_Cuu!$L$16/2),2)*2+MOD(MOD(E$5,2)*INT(Bang_Tra_Cuu!$I$16/4)+MOD(INT(E$5/2),2)*INT(Bang_Tra_Cuu!$J$16/4)+MOD(INT(E$5/4),2)*INT(Bang_Tra_Cuu!$K$16/4)+MOD(INT(E$5/8),2)*INT(Bang_Tra_Cuu!$L$16/4),2)*4+MOD(MOD(E$5,2)*INT(Bang_Tra_Cuu!$I$16/8)+MOD(INT(E$5/2),2)*INT(Bang_Tra_Cuu!$J$16/8)+MOD(INT(E$5/4),2)*INT(Bang_Tra_Cuu!$K$16/8)+MOD(INT(E$5/8),2)*INT(Bang_Tra_Cuu!$L$16/8),2)*8</f>
        <v/>
      </c>
      <c r="F17" s="14">
        <f>MOD(MOD(F$5,2)*INT(Bang_Tra_Cuu!$I$16/1)+MOD(INT(F$5/2),2)*INT(Bang_Tra_Cuu!$J$16/1)+MOD(INT(F$5/4),2)*INT(Bang_Tra_Cuu!$K$16/1)+MOD(INT(F$5/8),2)*INT(Bang_Tra_Cuu!$L$16/1),2)*1+MOD(MOD(F$5,2)*INT(Bang_Tra_Cuu!$I$16/2)+MOD(INT(F$5/2),2)*INT(Bang_Tra_Cuu!$J$16/2)+MOD(INT(F$5/4),2)*INT(Bang_Tra_Cuu!$K$16/2)+MOD(INT(F$5/8),2)*INT(Bang_Tra_Cuu!$L$16/2),2)*2+MOD(MOD(F$5,2)*INT(Bang_Tra_Cuu!$I$16/4)+MOD(INT(F$5/2),2)*INT(Bang_Tra_Cuu!$J$16/4)+MOD(INT(F$5/4),2)*INT(Bang_Tra_Cuu!$K$16/4)+MOD(INT(F$5/8),2)*INT(Bang_Tra_Cuu!$L$16/4),2)*4+MOD(MOD(F$5,2)*INT(Bang_Tra_Cuu!$I$16/8)+MOD(INT(F$5/2),2)*INT(Bang_Tra_Cuu!$J$16/8)+MOD(INT(F$5/4),2)*INT(Bang_Tra_Cuu!$K$16/8)+MOD(INT(F$5/8),2)*INT(Bang_Tra_Cuu!$L$16/8),2)*8</f>
        <v/>
      </c>
      <c r="G17" s="17">
        <f>MOD(MOD(G$5,2)*INT(Bang_Tra_Cuu!$I$16/1)+MOD(INT(G$5/2),2)*INT(Bang_Tra_Cuu!$J$16/1)+MOD(INT(G$5/4),2)*INT(Bang_Tra_Cuu!$K$16/1)+MOD(INT(G$5/8),2)*INT(Bang_Tra_Cuu!$L$16/1),2)*1+MOD(MOD(G$5,2)*INT(Bang_Tra_Cuu!$I$16/2)+MOD(INT(G$5/2),2)*INT(Bang_Tra_Cuu!$J$16/2)+MOD(INT(G$5/4),2)*INT(Bang_Tra_Cuu!$K$16/2)+MOD(INT(G$5/8),2)*INT(Bang_Tra_Cuu!$L$16/2),2)*2+MOD(MOD(G$5,2)*INT(Bang_Tra_Cuu!$I$16/4)+MOD(INT(G$5/2),2)*INT(Bang_Tra_Cuu!$J$16/4)+MOD(INT(G$5/4),2)*INT(Bang_Tra_Cuu!$K$16/4)+MOD(INT(G$5/8),2)*INT(Bang_Tra_Cuu!$L$16/4),2)*4+MOD(MOD(G$5,2)*INT(Bang_Tra_Cuu!$I$16/8)+MOD(INT(G$5/2),2)*INT(Bang_Tra_Cuu!$J$16/8)+MOD(INT(G$5/4),2)*INT(Bang_Tra_Cuu!$K$16/8)+MOD(INT(G$5/8),2)*INT(Bang_Tra_Cuu!$L$16/8),2)*8</f>
        <v/>
      </c>
      <c r="H17" s="14">
        <f>MOD(MOD(H$5,2)*INT(Bang_Tra_Cuu!$I$16/1)+MOD(INT(H$5/2),2)*INT(Bang_Tra_Cuu!$J$16/1)+MOD(INT(H$5/4),2)*INT(Bang_Tra_Cuu!$K$16/1)+MOD(INT(H$5/8),2)*INT(Bang_Tra_Cuu!$L$16/1),2)*1+MOD(MOD(H$5,2)*INT(Bang_Tra_Cuu!$I$16/2)+MOD(INT(H$5/2),2)*INT(Bang_Tra_Cuu!$J$16/2)+MOD(INT(H$5/4),2)*INT(Bang_Tra_Cuu!$K$16/2)+MOD(INT(H$5/8),2)*INT(Bang_Tra_Cuu!$L$16/2),2)*2+MOD(MOD(H$5,2)*INT(Bang_Tra_Cuu!$I$16/4)+MOD(INT(H$5/2),2)*INT(Bang_Tra_Cuu!$J$16/4)+MOD(INT(H$5/4),2)*INT(Bang_Tra_Cuu!$K$16/4)+MOD(INT(H$5/8),2)*INT(Bang_Tra_Cuu!$L$16/4),2)*4+MOD(MOD(H$5,2)*INT(Bang_Tra_Cuu!$I$16/8)+MOD(INT(H$5/2),2)*INT(Bang_Tra_Cuu!$J$16/8)+MOD(INT(H$5/4),2)*INT(Bang_Tra_Cuu!$K$16/8)+MOD(INT(H$5/8),2)*INT(Bang_Tra_Cuu!$L$16/8),2)*8</f>
        <v/>
      </c>
      <c r="I17" s="17">
        <f>MOD(MOD(I$5,2)*INT(Bang_Tra_Cuu!$I$16/1)+MOD(INT(I$5/2),2)*INT(Bang_Tra_Cuu!$J$16/1)+MOD(INT(I$5/4),2)*INT(Bang_Tra_Cuu!$K$16/1)+MOD(INT(I$5/8),2)*INT(Bang_Tra_Cuu!$L$16/1),2)*1+MOD(MOD(I$5,2)*INT(Bang_Tra_Cuu!$I$16/2)+MOD(INT(I$5/2),2)*INT(Bang_Tra_Cuu!$J$16/2)+MOD(INT(I$5/4),2)*INT(Bang_Tra_Cuu!$K$16/2)+MOD(INT(I$5/8),2)*INT(Bang_Tra_Cuu!$L$16/2),2)*2+MOD(MOD(I$5,2)*INT(Bang_Tra_Cuu!$I$16/4)+MOD(INT(I$5/2),2)*INT(Bang_Tra_Cuu!$J$16/4)+MOD(INT(I$5/4),2)*INT(Bang_Tra_Cuu!$K$16/4)+MOD(INT(I$5/8),2)*INT(Bang_Tra_Cuu!$L$16/4),2)*4+MOD(MOD(I$5,2)*INT(Bang_Tra_Cuu!$I$16/8)+MOD(INT(I$5/2),2)*INT(Bang_Tra_Cuu!$J$16/8)+MOD(INT(I$5/4),2)*INT(Bang_Tra_Cuu!$K$16/8)+MOD(INT(I$5/8),2)*INT(Bang_Tra_Cuu!$L$16/8),2)*8</f>
        <v/>
      </c>
      <c r="J17" s="14">
        <f>MOD(MOD(J$5,2)*INT(Bang_Tra_Cuu!$I$16/1)+MOD(INT(J$5/2),2)*INT(Bang_Tra_Cuu!$J$16/1)+MOD(INT(J$5/4),2)*INT(Bang_Tra_Cuu!$K$16/1)+MOD(INT(J$5/8),2)*INT(Bang_Tra_Cuu!$L$16/1),2)*1+MOD(MOD(J$5,2)*INT(Bang_Tra_Cuu!$I$16/2)+MOD(INT(J$5/2),2)*INT(Bang_Tra_Cuu!$J$16/2)+MOD(INT(J$5/4),2)*INT(Bang_Tra_Cuu!$K$16/2)+MOD(INT(J$5/8),2)*INT(Bang_Tra_Cuu!$L$16/2),2)*2+MOD(MOD(J$5,2)*INT(Bang_Tra_Cuu!$I$16/4)+MOD(INT(J$5/2),2)*INT(Bang_Tra_Cuu!$J$16/4)+MOD(INT(J$5/4),2)*INT(Bang_Tra_Cuu!$K$16/4)+MOD(INT(J$5/8),2)*INT(Bang_Tra_Cuu!$L$16/4),2)*4+MOD(MOD(J$5,2)*INT(Bang_Tra_Cuu!$I$16/8)+MOD(INT(J$5/2),2)*INT(Bang_Tra_Cuu!$J$16/8)+MOD(INT(J$5/4),2)*INT(Bang_Tra_Cuu!$K$16/8)+MOD(INT(J$5/8),2)*INT(Bang_Tra_Cuu!$L$16/8),2)*8</f>
        <v/>
      </c>
      <c r="K17" s="17">
        <f>MOD(MOD(K$5,2)*INT(Bang_Tra_Cuu!$I$16/1)+MOD(INT(K$5/2),2)*INT(Bang_Tra_Cuu!$J$16/1)+MOD(INT(K$5/4),2)*INT(Bang_Tra_Cuu!$K$16/1)+MOD(INT(K$5/8),2)*INT(Bang_Tra_Cuu!$L$16/1),2)*1+MOD(MOD(K$5,2)*INT(Bang_Tra_Cuu!$I$16/2)+MOD(INT(K$5/2),2)*INT(Bang_Tra_Cuu!$J$16/2)+MOD(INT(K$5/4),2)*INT(Bang_Tra_Cuu!$K$16/2)+MOD(INT(K$5/8),2)*INT(Bang_Tra_Cuu!$L$16/2),2)*2+MOD(MOD(K$5,2)*INT(Bang_Tra_Cuu!$I$16/4)+MOD(INT(K$5/2),2)*INT(Bang_Tra_Cuu!$J$16/4)+MOD(INT(K$5/4),2)*INT(Bang_Tra_Cuu!$K$16/4)+MOD(INT(K$5/8),2)*INT(Bang_Tra_Cuu!$L$16/4),2)*4+MOD(MOD(K$5,2)*INT(Bang_Tra_Cuu!$I$16/8)+MOD(INT(K$5/2),2)*INT(Bang_Tra_Cuu!$J$16/8)+MOD(INT(K$5/4),2)*INT(Bang_Tra_Cuu!$K$16/8)+MOD(INT(K$5/8),2)*INT(Bang_Tra_Cuu!$L$16/8),2)*8</f>
        <v/>
      </c>
      <c r="L17" s="14">
        <f>MOD(MOD(L$5,2)*INT(Bang_Tra_Cuu!$I$16/1)+MOD(INT(L$5/2),2)*INT(Bang_Tra_Cuu!$J$16/1)+MOD(INT(L$5/4),2)*INT(Bang_Tra_Cuu!$K$16/1)+MOD(INT(L$5/8),2)*INT(Bang_Tra_Cuu!$L$16/1),2)*1+MOD(MOD(L$5,2)*INT(Bang_Tra_Cuu!$I$16/2)+MOD(INT(L$5/2),2)*INT(Bang_Tra_Cuu!$J$16/2)+MOD(INT(L$5/4),2)*INT(Bang_Tra_Cuu!$K$16/2)+MOD(INT(L$5/8),2)*INT(Bang_Tra_Cuu!$L$16/2),2)*2+MOD(MOD(L$5,2)*INT(Bang_Tra_Cuu!$I$16/4)+MOD(INT(L$5/2),2)*INT(Bang_Tra_Cuu!$J$16/4)+MOD(INT(L$5/4),2)*INT(Bang_Tra_Cuu!$K$16/4)+MOD(INT(L$5/8),2)*INT(Bang_Tra_Cuu!$L$16/4),2)*4+MOD(MOD(L$5,2)*INT(Bang_Tra_Cuu!$I$16/8)+MOD(INT(L$5/2),2)*INT(Bang_Tra_Cuu!$J$16/8)+MOD(INT(L$5/4),2)*INT(Bang_Tra_Cuu!$K$16/8)+MOD(INT(L$5/8),2)*INT(Bang_Tra_Cuu!$L$16/8),2)*8</f>
        <v/>
      </c>
      <c r="M17" s="17">
        <f>MOD(MOD(M$5,2)*INT(Bang_Tra_Cuu!$I$16/1)+MOD(INT(M$5/2),2)*INT(Bang_Tra_Cuu!$J$16/1)+MOD(INT(M$5/4),2)*INT(Bang_Tra_Cuu!$K$16/1)+MOD(INT(M$5/8),2)*INT(Bang_Tra_Cuu!$L$16/1),2)*1+MOD(MOD(M$5,2)*INT(Bang_Tra_Cuu!$I$16/2)+MOD(INT(M$5/2),2)*INT(Bang_Tra_Cuu!$J$16/2)+MOD(INT(M$5/4),2)*INT(Bang_Tra_Cuu!$K$16/2)+MOD(INT(M$5/8),2)*INT(Bang_Tra_Cuu!$L$16/2),2)*2+MOD(MOD(M$5,2)*INT(Bang_Tra_Cuu!$I$16/4)+MOD(INT(M$5/2),2)*INT(Bang_Tra_Cuu!$J$16/4)+MOD(INT(M$5/4),2)*INT(Bang_Tra_Cuu!$K$16/4)+MOD(INT(M$5/8),2)*INT(Bang_Tra_Cuu!$L$16/4),2)*4+MOD(MOD(M$5,2)*INT(Bang_Tra_Cuu!$I$16/8)+MOD(INT(M$5/2),2)*INT(Bang_Tra_Cuu!$J$16/8)+MOD(INT(M$5/4),2)*INT(Bang_Tra_Cuu!$K$16/8)+MOD(INT(M$5/8),2)*INT(Bang_Tra_Cuu!$L$16/8),2)*8</f>
        <v/>
      </c>
      <c r="N17" s="14">
        <f>MOD(MOD(N$5,2)*INT(Bang_Tra_Cuu!$I$16/1)+MOD(INT(N$5/2),2)*INT(Bang_Tra_Cuu!$J$16/1)+MOD(INT(N$5/4),2)*INT(Bang_Tra_Cuu!$K$16/1)+MOD(INT(N$5/8),2)*INT(Bang_Tra_Cuu!$L$16/1),2)*1+MOD(MOD(N$5,2)*INT(Bang_Tra_Cuu!$I$16/2)+MOD(INT(N$5/2),2)*INT(Bang_Tra_Cuu!$J$16/2)+MOD(INT(N$5/4),2)*INT(Bang_Tra_Cuu!$K$16/2)+MOD(INT(N$5/8),2)*INT(Bang_Tra_Cuu!$L$16/2),2)*2+MOD(MOD(N$5,2)*INT(Bang_Tra_Cuu!$I$16/4)+MOD(INT(N$5/2),2)*INT(Bang_Tra_Cuu!$J$16/4)+MOD(INT(N$5/4),2)*INT(Bang_Tra_Cuu!$K$16/4)+MOD(INT(N$5/8),2)*INT(Bang_Tra_Cuu!$L$16/4),2)*4+MOD(MOD(N$5,2)*INT(Bang_Tra_Cuu!$I$16/8)+MOD(INT(N$5/2),2)*INT(Bang_Tra_Cuu!$J$16/8)+MOD(INT(N$5/4),2)*INT(Bang_Tra_Cuu!$K$16/8)+MOD(INT(N$5/8),2)*INT(Bang_Tra_Cuu!$L$16/8),2)*8</f>
        <v/>
      </c>
      <c r="O17" s="17">
        <f>MOD(MOD(O$5,2)*INT(Bang_Tra_Cuu!$I$16/1)+MOD(INT(O$5/2),2)*INT(Bang_Tra_Cuu!$J$16/1)+MOD(INT(O$5/4),2)*INT(Bang_Tra_Cuu!$K$16/1)+MOD(INT(O$5/8),2)*INT(Bang_Tra_Cuu!$L$16/1),2)*1+MOD(MOD(O$5,2)*INT(Bang_Tra_Cuu!$I$16/2)+MOD(INT(O$5/2),2)*INT(Bang_Tra_Cuu!$J$16/2)+MOD(INT(O$5/4),2)*INT(Bang_Tra_Cuu!$K$16/2)+MOD(INT(O$5/8),2)*INT(Bang_Tra_Cuu!$L$16/2),2)*2+MOD(MOD(O$5,2)*INT(Bang_Tra_Cuu!$I$16/4)+MOD(INT(O$5/2),2)*INT(Bang_Tra_Cuu!$J$16/4)+MOD(INT(O$5/4),2)*INT(Bang_Tra_Cuu!$K$16/4)+MOD(INT(O$5/8),2)*INT(Bang_Tra_Cuu!$L$16/4),2)*4+MOD(MOD(O$5,2)*INT(Bang_Tra_Cuu!$I$16/8)+MOD(INT(O$5/2),2)*INT(Bang_Tra_Cuu!$J$16/8)+MOD(INT(O$5/4),2)*INT(Bang_Tra_Cuu!$K$16/8)+MOD(INT(O$5/8),2)*INT(Bang_Tra_Cuu!$L$16/8),2)*8</f>
        <v/>
      </c>
      <c r="P17" s="14">
        <f>MOD(MOD(P$5,2)*INT(Bang_Tra_Cuu!$I$16/1)+MOD(INT(P$5/2),2)*INT(Bang_Tra_Cuu!$J$16/1)+MOD(INT(P$5/4),2)*INT(Bang_Tra_Cuu!$K$16/1)+MOD(INT(P$5/8),2)*INT(Bang_Tra_Cuu!$L$16/1),2)*1+MOD(MOD(P$5,2)*INT(Bang_Tra_Cuu!$I$16/2)+MOD(INT(P$5/2),2)*INT(Bang_Tra_Cuu!$J$16/2)+MOD(INT(P$5/4),2)*INT(Bang_Tra_Cuu!$K$16/2)+MOD(INT(P$5/8),2)*INT(Bang_Tra_Cuu!$L$16/2),2)*2+MOD(MOD(P$5,2)*INT(Bang_Tra_Cuu!$I$16/4)+MOD(INT(P$5/2),2)*INT(Bang_Tra_Cuu!$J$16/4)+MOD(INT(P$5/4),2)*INT(Bang_Tra_Cuu!$K$16/4)+MOD(INT(P$5/8),2)*INT(Bang_Tra_Cuu!$L$16/4),2)*4+MOD(MOD(P$5,2)*INT(Bang_Tra_Cuu!$I$16/8)+MOD(INT(P$5/2),2)*INT(Bang_Tra_Cuu!$J$16/8)+MOD(INT(P$5/4),2)*INT(Bang_Tra_Cuu!$K$16/8)+MOD(INT(P$5/8),2)*INT(Bang_Tra_Cuu!$L$16/8),2)*8</f>
        <v/>
      </c>
      <c r="Q17" s="17">
        <f>MOD(MOD(Q$5,2)*INT(Bang_Tra_Cuu!$I$16/1)+MOD(INT(Q$5/2),2)*INT(Bang_Tra_Cuu!$J$16/1)+MOD(INT(Q$5/4),2)*INT(Bang_Tra_Cuu!$K$16/1)+MOD(INT(Q$5/8),2)*INT(Bang_Tra_Cuu!$L$16/1),2)*1+MOD(MOD(Q$5,2)*INT(Bang_Tra_Cuu!$I$16/2)+MOD(INT(Q$5/2),2)*INT(Bang_Tra_Cuu!$J$16/2)+MOD(INT(Q$5/4),2)*INT(Bang_Tra_Cuu!$K$16/2)+MOD(INT(Q$5/8),2)*INT(Bang_Tra_Cuu!$L$16/2),2)*2+MOD(MOD(Q$5,2)*INT(Bang_Tra_Cuu!$I$16/4)+MOD(INT(Q$5/2),2)*INT(Bang_Tra_Cuu!$J$16/4)+MOD(INT(Q$5/4),2)*INT(Bang_Tra_Cuu!$K$16/4)+MOD(INT(Q$5/8),2)*INT(Bang_Tra_Cuu!$L$16/4),2)*4+MOD(MOD(Q$5,2)*INT(Bang_Tra_Cuu!$I$16/8)+MOD(INT(Q$5/2),2)*INT(Bang_Tra_Cuu!$J$16/8)+MOD(INT(Q$5/4),2)*INT(Bang_Tra_Cuu!$K$16/8)+MOD(INT(Q$5/8),2)*INT(Bang_Tra_Cuu!$L$16/8),2)*8</f>
        <v/>
      </c>
      <c r="R17" s="14">
        <f>MOD(MOD(R$5,2)*INT(Bang_Tra_Cuu!$I$16/1)+MOD(INT(R$5/2),2)*INT(Bang_Tra_Cuu!$J$16/1)+MOD(INT(R$5/4),2)*INT(Bang_Tra_Cuu!$K$16/1)+MOD(INT(R$5/8),2)*INT(Bang_Tra_Cuu!$L$16/1),2)*1+MOD(MOD(R$5,2)*INT(Bang_Tra_Cuu!$I$16/2)+MOD(INT(R$5/2),2)*INT(Bang_Tra_Cuu!$J$16/2)+MOD(INT(R$5/4),2)*INT(Bang_Tra_Cuu!$K$16/2)+MOD(INT(R$5/8),2)*INT(Bang_Tra_Cuu!$L$16/2),2)*2+MOD(MOD(R$5,2)*INT(Bang_Tra_Cuu!$I$16/4)+MOD(INT(R$5/2),2)*INT(Bang_Tra_Cuu!$J$16/4)+MOD(INT(R$5/4),2)*INT(Bang_Tra_Cuu!$K$16/4)+MOD(INT(R$5/8),2)*INT(Bang_Tra_Cuu!$L$16/4),2)*4+MOD(MOD(R$5,2)*INT(Bang_Tra_Cuu!$I$16/8)+MOD(INT(R$5/2),2)*INT(Bang_Tra_Cuu!$J$16/8)+MOD(INT(R$5/4),2)*INT(Bang_Tra_Cuu!$K$16/8)+MOD(INT(R$5/8),2)*INT(Bang_Tra_Cuu!$L$16/8),2)*8</f>
        <v/>
      </c>
      <c r="T17" s="17" t="n">
        <v>11</v>
      </c>
      <c r="U17" s="19" t="inlineStr">
        <is>
          <t>x^3 + x + 1</t>
        </is>
      </c>
      <c r="V17" s="17">
        <f>COUNTIF($C$6:$R$21, T17)</f>
        <v/>
      </c>
      <c r="W17" s="17">
        <f>COUNTIF($D$7:$R$21, T17)</f>
        <v/>
      </c>
    </row>
    <row r="18" ht="20" customHeight="1">
      <c r="A18" s="30" t="n">
        <v>12</v>
      </c>
      <c r="B18" s="31" t="inlineStr">
        <is>
          <t>x^3 + x^2</t>
        </is>
      </c>
      <c r="C18" s="14">
        <f>MOD(MOD(C$5,2)*INT(Bang_Tra_Cuu!$I$17/1)+MOD(INT(C$5/2),2)*INT(Bang_Tra_Cuu!$J$17/1)+MOD(INT(C$5/4),2)*INT(Bang_Tra_Cuu!$K$17/1)+MOD(INT(C$5/8),2)*INT(Bang_Tra_Cuu!$L$17/1),2)*1+MOD(MOD(C$5,2)*INT(Bang_Tra_Cuu!$I$17/2)+MOD(INT(C$5/2),2)*INT(Bang_Tra_Cuu!$J$17/2)+MOD(INT(C$5/4),2)*INT(Bang_Tra_Cuu!$K$17/2)+MOD(INT(C$5/8),2)*INT(Bang_Tra_Cuu!$L$17/2),2)*2+MOD(MOD(C$5,2)*INT(Bang_Tra_Cuu!$I$17/4)+MOD(INT(C$5/2),2)*INT(Bang_Tra_Cuu!$J$17/4)+MOD(INT(C$5/4),2)*INT(Bang_Tra_Cuu!$K$17/4)+MOD(INT(C$5/8),2)*INT(Bang_Tra_Cuu!$L$17/4),2)*4+MOD(MOD(C$5,2)*INT(Bang_Tra_Cuu!$I$17/8)+MOD(INT(C$5/2),2)*INT(Bang_Tra_Cuu!$J$17/8)+MOD(INT(C$5/4),2)*INT(Bang_Tra_Cuu!$K$17/8)+MOD(INT(C$5/8),2)*INT(Bang_Tra_Cuu!$L$17/8),2)*8</f>
        <v/>
      </c>
      <c r="D18" s="17">
        <f>MOD(MOD(D$5,2)*INT(Bang_Tra_Cuu!$I$17/1)+MOD(INT(D$5/2),2)*INT(Bang_Tra_Cuu!$J$17/1)+MOD(INT(D$5/4),2)*INT(Bang_Tra_Cuu!$K$17/1)+MOD(INT(D$5/8),2)*INT(Bang_Tra_Cuu!$L$17/1),2)*1+MOD(MOD(D$5,2)*INT(Bang_Tra_Cuu!$I$17/2)+MOD(INT(D$5/2),2)*INT(Bang_Tra_Cuu!$J$17/2)+MOD(INT(D$5/4),2)*INT(Bang_Tra_Cuu!$K$17/2)+MOD(INT(D$5/8),2)*INT(Bang_Tra_Cuu!$L$17/2),2)*2+MOD(MOD(D$5,2)*INT(Bang_Tra_Cuu!$I$17/4)+MOD(INT(D$5/2),2)*INT(Bang_Tra_Cuu!$J$17/4)+MOD(INT(D$5/4),2)*INT(Bang_Tra_Cuu!$K$17/4)+MOD(INT(D$5/8),2)*INT(Bang_Tra_Cuu!$L$17/4),2)*4+MOD(MOD(D$5,2)*INT(Bang_Tra_Cuu!$I$17/8)+MOD(INT(D$5/2),2)*INT(Bang_Tra_Cuu!$J$17/8)+MOD(INT(D$5/4),2)*INT(Bang_Tra_Cuu!$K$17/8)+MOD(INT(D$5/8),2)*INT(Bang_Tra_Cuu!$L$17/8),2)*8</f>
        <v/>
      </c>
      <c r="E18" s="14">
        <f>MOD(MOD(E$5,2)*INT(Bang_Tra_Cuu!$I$17/1)+MOD(INT(E$5/2),2)*INT(Bang_Tra_Cuu!$J$17/1)+MOD(INT(E$5/4),2)*INT(Bang_Tra_Cuu!$K$17/1)+MOD(INT(E$5/8),2)*INT(Bang_Tra_Cuu!$L$17/1),2)*1+MOD(MOD(E$5,2)*INT(Bang_Tra_Cuu!$I$17/2)+MOD(INT(E$5/2),2)*INT(Bang_Tra_Cuu!$J$17/2)+MOD(INT(E$5/4),2)*INT(Bang_Tra_Cuu!$K$17/2)+MOD(INT(E$5/8),2)*INT(Bang_Tra_Cuu!$L$17/2),2)*2+MOD(MOD(E$5,2)*INT(Bang_Tra_Cuu!$I$17/4)+MOD(INT(E$5/2),2)*INT(Bang_Tra_Cuu!$J$17/4)+MOD(INT(E$5/4),2)*INT(Bang_Tra_Cuu!$K$17/4)+MOD(INT(E$5/8),2)*INT(Bang_Tra_Cuu!$L$17/4),2)*4+MOD(MOD(E$5,2)*INT(Bang_Tra_Cuu!$I$17/8)+MOD(INT(E$5/2),2)*INT(Bang_Tra_Cuu!$J$17/8)+MOD(INT(E$5/4),2)*INT(Bang_Tra_Cuu!$K$17/8)+MOD(INT(E$5/8),2)*INT(Bang_Tra_Cuu!$L$17/8),2)*8</f>
        <v/>
      </c>
      <c r="F18" s="17">
        <f>MOD(MOD(F$5,2)*INT(Bang_Tra_Cuu!$I$17/1)+MOD(INT(F$5/2),2)*INT(Bang_Tra_Cuu!$J$17/1)+MOD(INT(F$5/4),2)*INT(Bang_Tra_Cuu!$K$17/1)+MOD(INT(F$5/8),2)*INT(Bang_Tra_Cuu!$L$17/1),2)*1+MOD(MOD(F$5,2)*INT(Bang_Tra_Cuu!$I$17/2)+MOD(INT(F$5/2),2)*INT(Bang_Tra_Cuu!$J$17/2)+MOD(INT(F$5/4),2)*INT(Bang_Tra_Cuu!$K$17/2)+MOD(INT(F$5/8),2)*INT(Bang_Tra_Cuu!$L$17/2),2)*2+MOD(MOD(F$5,2)*INT(Bang_Tra_Cuu!$I$17/4)+MOD(INT(F$5/2),2)*INT(Bang_Tra_Cuu!$J$17/4)+MOD(INT(F$5/4),2)*INT(Bang_Tra_Cuu!$K$17/4)+MOD(INT(F$5/8),2)*INT(Bang_Tra_Cuu!$L$17/4),2)*4+MOD(MOD(F$5,2)*INT(Bang_Tra_Cuu!$I$17/8)+MOD(INT(F$5/2),2)*INT(Bang_Tra_Cuu!$J$17/8)+MOD(INT(F$5/4),2)*INT(Bang_Tra_Cuu!$K$17/8)+MOD(INT(F$5/8),2)*INT(Bang_Tra_Cuu!$L$17/8),2)*8</f>
        <v/>
      </c>
      <c r="G18" s="14">
        <f>MOD(MOD(G$5,2)*INT(Bang_Tra_Cuu!$I$17/1)+MOD(INT(G$5/2),2)*INT(Bang_Tra_Cuu!$J$17/1)+MOD(INT(G$5/4),2)*INT(Bang_Tra_Cuu!$K$17/1)+MOD(INT(G$5/8),2)*INT(Bang_Tra_Cuu!$L$17/1),2)*1+MOD(MOD(G$5,2)*INT(Bang_Tra_Cuu!$I$17/2)+MOD(INT(G$5/2),2)*INT(Bang_Tra_Cuu!$J$17/2)+MOD(INT(G$5/4),2)*INT(Bang_Tra_Cuu!$K$17/2)+MOD(INT(G$5/8),2)*INT(Bang_Tra_Cuu!$L$17/2),2)*2+MOD(MOD(G$5,2)*INT(Bang_Tra_Cuu!$I$17/4)+MOD(INT(G$5/2),2)*INT(Bang_Tra_Cuu!$J$17/4)+MOD(INT(G$5/4),2)*INT(Bang_Tra_Cuu!$K$17/4)+MOD(INT(G$5/8),2)*INT(Bang_Tra_Cuu!$L$17/4),2)*4+MOD(MOD(G$5,2)*INT(Bang_Tra_Cuu!$I$17/8)+MOD(INT(G$5/2),2)*INT(Bang_Tra_Cuu!$J$17/8)+MOD(INT(G$5/4),2)*INT(Bang_Tra_Cuu!$K$17/8)+MOD(INT(G$5/8),2)*INT(Bang_Tra_Cuu!$L$17/8),2)*8</f>
        <v/>
      </c>
      <c r="H18" s="17">
        <f>MOD(MOD(H$5,2)*INT(Bang_Tra_Cuu!$I$17/1)+MOD(INT(H$5/2),2)*INT(Bang_Tra_Cuu!$J$17/1)+MOD(INT(H$5/4),2)*INT(Bang_Tra_Cuu!$K$17/1)+MOD(INT(H$5/8),2)*INT(Bang_Tra_Cuu!$L$17/1),2)*1+MOD(MOD(H$5,2)*INT(Bang_Tra_Cuu!$I$17/2)+MOD(INT(H$5/2),2)*INT(Bang_Tra_Cuu!$J$17/2)+MOD(INT(H$5/4),2)*INT(Bang_Tra_Cuu!$K$17/2)+MOD(INT(H$5/8),2)*INT(Bang_Tra_Cuu!$L$17/2),2)*2+MOD(MOD(H$5,2)*INT(Bang_Tra_Cuu!$I$17/4)+MOD(INT(H$5/2),2)*INT(Bang_Tra_Cuu!$J$17/4)+MOD(INT(H$5/4),2)*INT(Bang_Tra_Cuu!$K$17/4)+MOD(INT(H$5/8),2)*INT(Bang_Tra_Cuu!$L$17/4),2)*4+MOD(MOD(H$5,2)*INT(Bang_Tra_Cuu!$I$17/8)+MOD(INT(H$5/2),2)*INT(Bang_Tra_Cuu!$J$17/8)+MOD(INT(H$5/4),2)*INT(Bang_Tra_Cuu!$K$17/8)+MOD(INT(H$5/8),2)*INT(Bang_Tra_Cuu!$L$17/8),2)*8</f>
        <v/>
      </c>
      <c r="I18" s="14">
        <f>MOD(MOD(I$5,2)*INT(Bang_Tra_Cuu!$I$17/1)+MOD(INT(I$5/2),2)*INT(Bang_Tra_Cuu!$J$17/1)+MOD(INT(I$5/4),2)*INT(Bang_Tra_Cuu!$K$17/1)+MOD(INT(I$5/8),2)*INT(Bang_Tra_Cuu!$L$17/1),2)*1+MOD(MOD(I$5,2)*INT(Bang_Tra_Cuu!$I$17/2)+MOD(INT(I$5/2),2)*INT(Bang_Tra_Cuu!$J$17/2)+MOD(INT(I$5/4),2)*INT(Bang_Tra_Cuu!$K$17/2)+MOD(INT(I$5/8),2)*INT(Bang_Tra_Cuu!$L$17/2),2)*2+MOD(MOD(I$5,2)*INT(Bang_Tra_Cuu!$I$17/4)+MOD(INT(I$5/2),2)*INT(Bang_Tra_Cuu!$J$17/4)+MOD(INT(I$5/4),2)*INT(Bang_Tra_Cuu!$K$17/4)+MOD(INT(I$5/8),2)*INT(Bang_Tra_Cuu!$L$17/4),2)*4+MOD(MOD(I$5,2)*INT(Bang_Tra_Cuu!$I$17/8)+MOD(INT(I$5/2),2)*INT(Bang_Tra_Cuu!$J$17/8)+MOD(INT(I$5/4),2)*INT(Bang_Tra_Cuu!$K$17/8)+MOD(INT(I$5/8),2)*INT(Bang_Tra_Cuu!$L$17/8),2)*8</f>
        <v/>
      </c>
      <c r="J18" s="17">
        <f>MOD(MOD(J$5,2)*INT(Bang_Tra_Cuu!$I$17/1)+MOD(INT(J$5/2),2)*INT(Bang_Tra_Cuu!$J$17/1)+MOD(INT(J$5/4),2)*INT(Bang_Tra_Cuu!$K$17/1)+MOD(INT(J$5/8),2)*INT(Bang_Tra_Cuu!$L$17/1),2)*1+MOD(MOD(J$5,2)*INT(Bang_Tra_Cuu!$I$17/2)+MOD(INT(J$5/2),2)*INT(Bang_Tra_Cuu!$J$17/2)+MOD(INT(J$5/4),2)*INT(Bang_Tra_Cuu!$K$17/2)+MOD(INT(J$5/8),2)*INT(Bang_Tra_Cuu!$L$17/2),2)*2+MOD(MOD(J$5,2)*INT(Bang_Tra_Cuu!$I$17/4)+MOD(INT(J$5/2),2)*INT(Bang_Tra_Cuu!$J$17/4)+MOD(INT(J$5/4),2)*INT(Bang_Tra_Cuu!$K$17/4)+MOD(INT(J$5/8),2)*INT(Bang_Tra_Cuu!$L$17/4),2)*4+MOD(MOD(J$5,2)*INT(Bang_Tra_Cuu!$I$17/8)+MOD(INT(J$5/2),2)*INT(Bang_Tra_Cuu!$J$17/8)+MOD(INT(J$5/4),2)*INT(Bang_Tra_Cuu!$K$17/8)+MOD(INT(J$5/8),2)*INT(Bang_Tra_Cuu!$L$17/8),2)*8</f>
        <v/>
      </c>
      <c r="K18" s="14">
        <f>MOD(MOD(K$5,2)*INT(Bang_Tra_Cuu!$I$17/1)+MOD(INT(K$5/2),2)*INT(Bang_Tra_Cuu!$J$17/1)+MOD(INT(K$5/4),2)*INT(Bang_Tra_Cuu!$K$17/1)+MOD(INT(K$5/8),2)*INT(Bang_Tra_Cuu!$L$17/1),2)*1+MOD(MOD(K$5,2)*INT(Bang_Tra_Cuu!$I$17/2)+MOD(INT(K$5/2),2)*INT(Bang_Tra_Cuu!$J$17/2)+MOD(INT(K$5/4),2)*INT(Bang_Tra_Cuu!$K$17/2)+MOD(INT(K$5/8),2)*INT(Bang_Tra_Cuu!$L$17/2),2)*2+MOD(MOD(K$5,2)*INT(Bang_Tra_Cuu!$I$17/4)+MOD(INT(K$5/2),2)*INT(Bang_Tra_Cuu!$J$17/4)+MOD(INT(K$5/4),2)*INT(Bang_Tra_Cuu!$K$17/4)+MOD(INT(K$5/8),2)*INT(Bang_Tra_Cuu!$L$17/4),2)*4+MOD(MOD(K$5,2)*INT(Bang_Tra_Cuu!$I$17/8)+MOD(INT(K$5/2),2)*INT(Bang_Tra_Cuu!$J$17/8)+MOD(INT(K$5/4),2)*INT(Bang_Tra_Cuu!$K$17/8)+MOD(INT(K$5/8),2)*INT(Bang_Tra_Cuu!$L$17/8),2)*8</f>
        <v/>
      </c>
      <c r="L18" s="17">
        <f>MOD(MOD(L$5,2)*INT(Bang_Tra_Cuu!$I$17/1)+MOD(INT(L$5/2),2)*INT(Bang_Tra_Cuu!$J$17/1)+MOD(INT(L$5/4),2)*INT(Bang_Tra_Cuu!$K$17/1)+MOD(INT(L$5/8),2)*INT(Bang_Tra_Cuu!$L$17/1),2)*1+MOD(MOD(L$5,2)*INT(Bang_Tra_Cuu!$I$17/2)+MOD(INT(L$5/2),2)*INT(Bang_Tra_Cuu!$J$17/2)+MOD(INT(L$5/4),2)*INT(Bang_Tra_Cuu!$K$17/2)+MOD(INT(L$5/8),2)*INT(Bang_Tra_Cuu!$L$17/2),2)*2+MOD(MOD(L$5,2)*INT(Bang_Tra_Cuu!$I$17/4)+MOD(INT(L$5/2),2)*INT(Bang_Tra_Cuu!$J$17/4)+MOD(INT(L$5/4),2)*INT(Bang_Tra_Cuu!$K$17/4)+MOD(INT(L$5/8),2)*INT(Bang_Tra_Cuu!$L$17/4),2)*4+MOD(MOD(L$5,2)*INT(Bang_Tra_Cuu!$I$17/8)+MOD(INT(L$5/2),2)*INT(Bang_Tra_Cuu!$J$17/8)+MOD(INT(L$5/4),2)*INT(Bang_Tra_Cuu!$K$17/8)+MOD(INT(L$5/8),2)*INT(Bang_Tra_Cuu!$L$17/8),2)*8</f>
        <v/>
      </c>
      <c r="M18" s="14">
        <f>MOD(MOD(M$5,2)*INT(Bang_Tra_Cuu!$I$17/1)+MOD(INT(M$5/2),2)*INT(Bang_Tra_Cuu!$J$17/1)+MOD(INT(M$5/4),2)*INT(Bang_Tra_Cuu!$K$17/1)+MOD(INT(M$5/8),2)*INT(Bang_Tra_Cuu!$L$17/1),2)*1+MOD(MOD(M$5,2)*INT(Bang_Tra_Cuu!$I$17/2)+MOD(INT(M$5/2),2)*INT(Bang_Tra_Cuu!$J$17/2)+MOD(INT(M$5/4),2)*INT(Bang_Tra_Cuu!$K$17/2)+MOD(INT(M$5/8),2)*INT(Bang_Tra_Cuu!$L$17/2),2)*2+MOD(MOD(M$5,2)*INT(Bang_Tra_Cuu!$I$17/4)+MOD(INT(M$5/2),2)*INT(Bang_Tra_Cuu!$J$17/4)+MOD(INT(M$5/4),2)*INT(Bang_Tra_Cuu!$K$17/4)+MOD(INT(M$5/8),2)*INT(Bang_Tra_Cuu!$L$17/4),2)*4+MOD(MOD(M$5,2)*INT(Bang_Tra_Cuu!$I$17/8)+MOD(INT(M$5/2),2)*INT(Bang_Tra_Cuu!$J$17/8)+MOD(INT(M$5/4),2)*INT(Bang_Tra_Cuu!$K$17/8)+MOD(INT(M$5/8),2)*INT(Bang_Tra_Cuu!$L$17/8),2)*8</f>
        <v/>
      </c>
      <c r="N18" s="17">
        <f>MOD(MOD(N$5,2)*INT(Bang_Tra_Cuu!$I$17/1)+MOD(INT(N$5/2),2)*INT(Bang_Tra_Cuu!$J$17/1)+MOD(INT(N$5/4),2)*INT(Bang_Tra_Cuu!$K$17/1)+MOD(INT(N$5/8),2)*INT(Bang_Tra_Cuu!$L$17/1),2)*1+MOD(MOD(N$5,2)*INT(Bang_Tra_Cuu!$I$17/2)+MOD(INT(N$5/2),2)*INT(Bang_Tra_Cuu!$J$17/2)+MOD(INT(N$5/4),2)*INT(Bang_Tra_Cuu!$K$17/2)+MOD(INT(N$5/8),2)*INT(Bang_Tra_Cuu!$L$17/2),2)*2+MOD(MOD(N$5,2)*INT(Bang_Tra_Cuu!$I$17/4)+MOD(INT(N$5/2),2)*INT(Bang_Tra_Cuu!$J$17/4)+MOD(INT(N$5/4),2)*INT(Bang_Tra_Cuu!$K$17/4)+MOD(INT(N$5/8),2)*INT(Bang_Tra_Cuu!$L$17/4),2)*4+MOD(MOD(N$5,2)*INT(Bang_Tra_Cuu!$I$17/8)+MOD(INT(N$5/2),2)*INT(Bang_Tra_Cuu!$J$17/8)+MOD(INT(N$5/4),2)*INT(Bang_Tra_Cuu!$K$17/8)+MOD(INT(N$5/8),2)*INT(Bang_Tra_Cuu!$L$17/8),2)*8</f>
        <v/>
      </c>
      <c r="O18" s="14">
        <f>MOD(MOD(O$5,2)*INT(Bang_Tra_Cuu!$I$17/1)+MOD(INT(O$5/2),2)*INT(Bang_Tra_Cuu!$J$17/1)+MOD(INT(O$5/4),2)*INT(Bang_Tra_Cuu!$K$17/1)+MOD(INT(O$5/8),2)*INT(Bang_Tra_Cuu!$L$17/1),2)*1+MOD(MOD(O$5,2)*INT(Bang_Tra_Cuu!$I$17/2)+MOD(INT(O$5/2),2)*INT(Bang_Tra_Cuu!$J$17/2)+MOD(INT(O$5/4),2)*INT(Bang_Tra_Cuu!$K$17/2)+MOD(INT(O$5/8),2)*INT(Bang_Tra_Cuu!$L$17/2),2)*2+MOD(MOD(O$5,2)*INT(Bang_Tra_Cuu!$I$17/4)+MOD(INT(O$5/2),2)*INT(Bang_Tra_Cuu!$J$17/4)+MOD(INT(O$5/4),2)*INT(Bang_Tra_Cuu!$K$17/4)+MOD(INT(O$5/8),2)*INT(Bang_Tra_Cuu!$L$17/4),2)*4+MOD(MOD(O$5,2)*INT(Bang_Tra_Cuu!$I$17/8)+MOD(INT(O$5/2),2)*INT(Bang_Tra_Cuu!$J$17/8)+MOD(INT(O$5/4),2)*INT(Bang_Tra_Cuu!$K$17/8)+MOD(INT(O$5/8),2)*INT(Bang_Tra_Cuu!$L$17/8),2)*8</f>
        <v/>
      </c>
      <c r="P18" s="17">
        <f>MOD(MOD(P$5,2)*INT(Bang_Tra_Cuu!$I$17/1)+MOD(INT(P$5/2),2)*INT(Bang_Tra_Cuu!$J$17/1)+MOD(INT(P$5/4),2)*INT(Bang_Tra_Cuu!$K$17/1)+MOD(INT(P$5/8),2)*INT(Bang_Tra_Cuu!$L$17/1),2)*1+MOD(MOD(P$5,2)*INT(Bang_Tra_Cuu!$I$17/2)+MOD(INT(P$5/2),2)*INT(Bang_Tra_Cuu!$J$17/2)+MOD(INT(P$5/4),2)*INT(Bang_Tra_Cuu!$K$17/2)+MOD(INT(P$5/8),2)*INT(Bang_Tra_Cuu!$L$17/2),2)*2+MOD(MOD(P$5,2)*INT(Bang_Tra_Cuu!$I$17/4)+MOD(INT(P$5/2),2)*INT(Bang_Tra_Cuu!$J$17/4)+MOD(INT(P$5/4),2)*INT(Bang_Tra_Cuu!$K$17/4)+MOD(INT(P$5/8),2)*INT(Bang_Tra_Cuu!$L$17/4),2)*4+MOD(MOD(P$5,2)*INT(Bang_Tra_Cuu!$I$17/8)+MOD(INT(P$5/2),2)*INT(Bang_Tra_Cuu!$J$17/8)+MOD(INT(P$5/4),2)*INT(Bang_Tra_Cuu!$K$17/8)+MOD(INT(P$5/8),2)*INT(Bang_Tra_Cuu!$L$17/8),2)*8</f>
        <v/>
      </c>
      <c r="Q18" s="14">
        <f>MOD(MOD(Q$5,2)*INT(Bang_Tra_Cuu!$I$17/1)+MOD(INT(Q$5/2),2)*INT(Bang_Tra_Cuu!$J$17/1)+MOD(INT(Q$5/4),2)*INT(Bang_Tra_Cuu!$K$17/1)+MOD(INT(Q$5/8),2)*INT(Bang_Tra_Cuu!$L$17/1),2)*1+MOD(MOD(Q$5,2)*INT(Bang_Tra_Cuu!$I$17/2)+MOD(INT(Q$5/2),2)*INT(Bang_Tra_Cuu!$J$17/2)+MOD(INT(Q$5/4),2)*INT(Bang_Tra_Cuu!$K$17/2)+MOD(INT(Q$5/8),2)*INT(Bang_Tra_Cuu!$L$17/2),2)*2+MOD(MOD(Q$5,2)*INT(Bang_Tra_Cuu!$I$17/4)+MOD(INT(Q$5/2),2)*INT(Bang_Tra_Cuu!$J$17/4)+MOD(INT(Q$5/4),2)*INT(Bang_Tra_Cuu!$K$17/4)+MOD(INT(Q$5/8),2)*INT(Bang_Tra_Cuu!$L$17/4),2)*4+MOD(MOD(Q$5,2)*INT(Bang_Tra_Cuu!$I$17/8)+MOD(INT(Q$5/2),2)*INT(Bang_Tra_Cuu!$J$17/8)+MOD(INT(Q$5/4),2)*INT(Bang_Tra_Cuu!$K$17/8)+MOD(INT(Q$5/8),2)*INT(Bang_Tra_Cuu!$L$17/8),2)*8</f>
        <v/>
      </c>
      <c r="R18" s="17">
        <f>MOD(MOD(R$5,2)*INT(Bang_Tra_Cuu!$I$17/1)+MOD(INT(R$5/2),2)*INT(Bang_Tra_Cuu!$J$17/1)+MOD(INT(R$5/4),2)*INT(Bang_Tra_Cuu!$K$17/1)+MOD(INT(R$5/8),2)*INT(Bang_Tra_Cuu!$L$17/1),2)*1+MOD(MOD(R$5,2)*INT(Bang_Tra_Cuu!$I$17/2)+MOD(INT(R$5/2),2)*INT(Bang_Tra_Cuu!$J$17/2)+MOD(INT(R$5/4),2)*INT(Bang_Tra_Cuu!$K$17/2)+MOD(INT(R$5/8),2)*INT(Bang_Tra_Cuu!$L$17/2),2)*2+MOD(MOD(R$5,2)*INT(Bang_Tra_Cuu!$I$17/4)+MOD(INT(R$5/2),2)*INT(Bang_Tra_Cuu!$J$17/4)+MOD(INT(R$5/4),2)*INT(Bang_Tra_Cuu!$K$17/4)+MOD(INT(R$5/8),2)*INT(Bang_Tra_Cuu!$L$17/4),2)*4+MOD(MOD(R$5,2)*INT(Bang_Tra_Cuu!$I$17/8)+MOD(INT(R$5/2),2)*INT(Bang_Tra_Cuu!$J$17/8)+MOD(INT(R$5/4),2)*INT(Bang_Tra_Cuu!$K$17/8)+MOD(INT(R$5/8),2)*INT(Bang_Tra_Cuu!$L$17/8),2)*8</f>
        <v/>
      </c>
      <c r="T18" s="14" t="n">
        <v>12</v>
      </c>
      <c r="U18" s="6" t="inlineStr">
        <is>
          <t>x^3 + x^2</t>
        </is>
      </c>
      <c r="V18" s="14">
        <f>COUNTIF($C$6:$R$21, T18)</f>
        <v/>
      </c>
      <c r="W18" s="14">
        <f>COUNTIF($D$7:$R$21, T18)</f>
        <v/>
      </c>
    </row>
    <row r="19" ht="20" customHeight="1">
      <c r="A19" s="30" t="n">
        <v>13</v>
      </c>
      <c r="B19" s="31" t="inlineStr">
        <is>
          <t>x^3 + x^2 + 1</t>
        </is>
      </c>
      <c r="C19" s="17">
        <f>MOD(MOD(C$5,2)*INT(Bang_Tra_Cuu!$I$18/1)+MOD(INT(C$5/2),2)*INT(Bang_Tra_Cuu!$J$18/1)+MOD(INT(C$5/4),2)*INT(Bang_Tra_Cuu!$K$18/1)+MOD(INT(C$5/8),2)*INT(Bang_Tra_Cuu!$L$18/1),2)*1+MOD(MOD(C$5,2)*INT(Bang_Tra_Cuu!$I$18/2)+MOD(INT(C$5/2),2)*INT(Bang_Tra_Cuu!$J$18/2)+MOD(INT(C$5/4),2)*INT(Bang_Tra_Cuu!$K$18/2)+MOD(INT(C$5/8),2)*INT(Bang_Tra_Cuu!$L$18/2),2)*2+MOD(MOD(C$5,2)*INT(Bang_Tra_Cuu!$I$18/4)+MOD(INT(C$5/2),2)*INT(Bang_Tra_Cuu!$J$18/4)+MOD(INT(C$5/4),2)*INT(Bang_Tra_Cuu!$K$18/4)+MOD(INT(C$5/8),2)*INT(Bang_Tra_Cuu!$L$18/4),2)*4+MOD(MOD(C$5,2)*INT(Bang_Tra_Cuu!$I$18/8)+MOD(INT(C$5/2),2)*INT(Bang_Tra_Cuu!$J$18/8)+MOD(INT(C$5/4),2)*INT(Bang_Tra_Cuu!$K$18/8)+MOD(INT(C$5/8),2)*INT(Bang_Tra_Cuu!$L$18/8),2)*8</f>
        <v/>
      </c>
      <c r="D19" s="14">
        <f>MOD(MOD(D$5,2)*INT(Bang_Tra_Cuu!$I$18/1)+MOD(INT(D$5/2),2)*INT(Bang_Tra_Cuu!$J$18/1)+MOD(INT(D$5/4),2)*INT(Bang_Tra_Cuu!$K$18/1)+MOD(INT(D$5/8),2)*INT(Bang_Tra_Cuu!$L$18/1),2)*1+MOD(MOD(D$5,2)*INT(Bang_Tra_Cuu!$I$18/2)+MOD(INT(D$5/2),2)*INT(Bang_Tra_Cuu!$J$18/2)+MOD(INT(D$5/4),2)*INT(Bang_Tra_Cuu!$K$18/2)+MOD(INT(D$5/8),2)*INT(Bang_Tra_Cuu!$L$18/2),2)*2+MOD(MOD(D$5,2)*INT(Bang_Tra_Cuu!$I$18/4)+MOD(INT(D$5/2),2)*INT(Bang_Tra_Cuu!$J$18/4)+MOD(INT(D$5/4),2)*INT(Bang_Tra_Cuu!$K$18/4)+MOD(INT(D$5/8),2)*INT(Bang_Tra_Cuu!$L$18/4),2)*4+MOD(MOD(D$5,2)*INT(Bang_Tra_Cuu!$I$18/8)+MOD(INT(D$5/2),2)*INT(Bang_Tra_Cuu!$J$18/8)+MOD(INT(D$5/4),2)*INT(Bang_Tra_Cuu!$K$18/8)+MOD(INT(D$5/8),2)*INT(Bang_Tra_Cuu!$L$18/8),2)*8</f>
        <v/>
      </c>
      <c r="E19" s="17">
        <f>MOD(MOD(E$5,2)*INT(Bang_Tra_Cuu!$I$18/1)+MOD(INT(E$5/2),2)*INT(Bang_Tra_Cuu!$J$18/1)+MOD(INT(E$5/4),2)*INT(Bang_Tra_Cuu!$K$18/1)+MOD(INT(E$5/8),2)*INT(Bang_Tra_Cuu!$L$18/1),2)*1+MOD(MOD(E$5,2)*INT(Bang_Tra_Cuu!$I$18/2)+MOD(INT(E$5/2),2)*INT(Bang_Tra_Cuu!$J$18/2)+MOD(INT(E$5/4),2)*INT(Bang_Tra_Cuu!$K$18/2)+MOD(INT(E$5/8),2)*INT(Bang_Tra_Cuu!$L$18/2),2)*2+MOD(MOD(E$5,2)*INT(Bang_Tra_Cuu!$I$18/4)+MOD(INT(E$5/2),2)*INT(Bang_Tra_Cuu!$J$18/4)+MOD(INT(E$5/4),2)*INT(Bang_Tra_Cuu!$K$18/4)+MOD(INT(E$5/8),2)*INT(Bang_Tra_Cuu!$L$18/4),2)*4+MOD(MOD(E$5,2)*INT(Bang_Tra_Cuu!$I$18/8)+MOD(INT(E$5/2),2)*INT(Bang_Tra_Cuu!$J$18/8)+MOD(INT(E$5/4),2)*INT(Bang_Tra_Cuu!$K$18/8)+MOD(INT(E$5/8),2)*INT(Bang_Tra_Cuu!$L$18/8),2)*8</f>
        <v/>
      </c>
      <c r="F19" s="14">
        <f>MOD(MOD(F$5,2)*INT(Bang_Tra_Cuu!$I$18/1)+MOD(INT(F$5/2),2)*INT(Bang_Tra_Cuu!$J$18/1)+MOD(INT(F$5/4),2)*INT(Bang_Tra_Cuu!$K$18/1)+MOD(INT(F$5/8),2)*INT(Bang_Tra_Cuu!$L$18/1),2)*1+MOD(MOD(F$5,2)*INT(Bang_Tra_Cuu!$I$18/2)+MOD(INT(F$5/2),2)*INT(Bang_Tra_Cuu!$J$18/2)+MOD(INT(F$5/4),2)*INT(Bang_Tra_Cuu!$K$18/2)+MOD(INT(F$5/8),2)*INT(Bang_Tra_Cuu!$L$18/2),2)*2+MOD(MOD(F$5,2)*INT(Bang_Tra_Cuu!$I$18/4)+MOD(INT(F$5/2),2)*INT(Bang_Tra_Cuu!$J$18/4)+MOD(INT(F$5/4),2)*INT(Bang_Tra_Cuu!$K$18/4)+MOD(INT(F$5/8),2)*INT(Bang_Tra_Cuu!$L$18/4),2)*4+MOD(MOD(F$5,2)*INT(Bang_Tra_Cuu!$I$18/8)+MOD(INT(F$5/2),2)*INT(Bang_Tra_Cuu!$J$18/8)+MOD(INT(F$5/4),2)*INT(Bang_Tra_Cuu!$K$18/8)+MOD(INT(F$5/8),2)*INT(Bang_Tra_Cuu!$L$18/8),2)*8</f>
        <v/>
      </c>
      <c r="G19" s="17">
        <f>MOD(MOD(G$5,2)*INT(Bang_Tra_Cuu!$I$18/1)+MOD(INT(G$5/2),2)*INT(Bang_Tra_Cuu!$J$18/1)+MOD(INT(G$5/4),2)*INT(Bang_Tra_Cuu!$K$18/1)+MOD(INT(G$5/8),2)*INT(Bang_Tra_Cuu!$L$18/1),2)*1+MOD(MOD(G$5,2)*INT(Bang_Tra_Cuu!$I$18/2)+MOD(INT(G$5/2),2)*INT(Bang_Tra_Cuu!$J$18/2)+MOD(INT(G$5/4),2)*INT(Bang_Tra_Cuu!$K$18/2)+MOD(INT(G$5/8),2)*INT(Bang_Tra_Cuu!$L$18/2),2)*2+MOD(MOD(G$5,2)*INT(Bang_Tra_Cuu!$I$18/4)+MOD(INT(G$5/2),2)*INT(Bang_Tra_Cuu!$J$18/4)+MOD(INT(G$5/4),2)*INT(Bang_Tra_Cuu!$K$18/4)+MOD(INT(G$5/8),2)*INT(Bang_Tra_Cuu!$L$18/4),2)*4+MOD(MOD(G$5,2)*INT(Bang_Tra_Cuu!$I$18/8)+MOD(INT(G$5/2),2)*INT(Bang_Tra_Cuu!$J$18/8)+MOD(INT(G$5/4),2)*INT(Bang_Tra_Cuu!$K$18/8)+MOD(INT(G$5/8),2)*INT(Bang_Tra_Cuu!$L$18/8),2)*8</f>
        <v/>
      </c>
      <c r="H19" s="14">
        <f>MOD(MOD(H$5,2)*INT(Bang_Tra_Cuu!$I$18/1)+MOD(INT(H$5/2),2)*INT(Bang_Tra_Cuu!$J$18/1)+MOD(INT(H$5/4),2)*INT(Bang_Tra_Cuu!$K$18/1)+MOD(INT(H$5/8),2)*INT(Bang_Tra_Cuu!$L$18/1),2)*1+MOD(MOD(H$5,2)*INT(Bang_Tra_Cuu!$I$18/2)+MOD(INT(H$5/2),2)*INT(Bang_Tra_Cuu!$J$18/2)+MOD(INT(H$5/4),2)*INT(Bang_Tra_Cuu!$K$18/2)+MOD(INT(H$5/8),2)*INT(Bang_Tra_Cuu!$L$18/2),2)*2+MOD(MOD(H$5,2)*INT(Bang_Tra_Cuu!$I$18/4)+MOD(INT(H$5/2),2)*INT(Bang_Tra_Cuu!$J$18/4)+MOD(INT(H$5/4),2)*INT(Bang_Tra_Cuu!$K$18/4)+MOD(INT(H$5/8),2)*INT(Bang_Tra_Cuu!$L$18/4),2)*4+MOD(MOD(H$5,2)*INT(Bang_Tra_Cuu!$I$18/8)+MOD(INT(H$5/2),2)*INT(Bang_Tra_Cuu!$J$18/8)+MOD(INT(H$5/4),2)*INT(Bang_Tra_Cuu!$K$18/8)+MOD(INT(H$5/8),2)*INT(Bang_Tra_Cuu!$L$18/8),2)*8</f>
        <v/>
      </c>
      <c r="I19" s="17">
        <f>MOD(MOD(I$5,2)*INT(Bang_Tra_Cuu!$I$18/1)+MOD(INT(I$5/2),2)*INT(Bang_Tra_Cuu!$J$18/1)+MOD(INT(I$5/4),2)*INT(Bang_Tra_Cuu!$K$18/1)+MOD(INT(I$5/8),2)*INT(Bang_Tra_Cuu!$L$18/1),2)*1+MOD(MOD(I$5,2)*INT(Bang_Tra_Cuu!$I$18/2)+MOD(INT(I$5/2),2)*INT(Bang_Tra_Cuu!$J$18/2)+MOD(INT(I$5/4),2)*INT(Bang_Tra_Cuu!$K$18/2)+MOD(INT(I$5/8),2)*INT(Bang_Tra_Cuu!$L$18/2),2)*2+MOD(MOD(I$5,2)*INT(Bang_Tra_Cuu!$I$18/4)+MOD(INT(I$5/2),2)*INT(Bang_Tra_Cuu!$J$18/4)+MOD(INT(I$5/4),2)*INT(Bang_Tra_Cuu!$K$18/4)+MOD(INT(I$5/8),2)*INT(Bang_Tra_Cuu!$L$18/4),2)*4+MOD(MOD(I$5,2)*INT(Bang_Tra_Cuu!$I$18/8)+MOD(INT(I$5/2),2)*INT(Bang_Tra_Cuu!$J$18/8)+MOD(INT(I$5/4),2)*INT(Bang_Tra_Cuu!$K$18/8)+MOD(INT(I$5/8),2)*INT(Bang_Tra_Cuu!$L$18/8),2)*8</f>
        <v/>
      </c>
      <c r="J19" s="14">
        <f>MOD(MOD(J$5,2)*INT(Bang_Tra_Cuu!$I$18/1)+MOD(INT(J$5/2),2)*INT(Bang_Tra_Cuu!$J$18/1)+MOD(INT(J$5/4),2)*INT(Bang_Tra_Cuu!$K$18/1)+MOD(INT(J$5/8),2)*INT(Bang_Tra_Cuu!$L$18/1),2)*1+MOD(MOD(J$5,2)*INT(Bang_Tra_Cuu!$I$18/2)+MOD(INT(J$5/2),2)*INT(Bang_Tra_Cuu!$J$18/2)+MOD(INT(J$5/4),2)*INT(Bang_Tra_Cuu!$K$18/2)+MOD(INT(J$5/8),2)*INT(Bang_Tra_Cuu!$L$18/2),2)*2+MOD(MOD(J$5,2)*INT(Bang_Tra_Cuu!$I$18/4)+MOD(INT(J$5/2),2)*INT(Bang_Tra_Cuu!$J$18/4)+MOD(INT(J$5/4),2)*INT(Bang_Tra_Cuu!$K$18/4)+MOD(INT(J$5/8),2)*INT(Bang_Tra_Cuu!$L$18/4),2)*4+MOD(MOD(J$5,2)*INT(Bang_Tra_Cuu!$I$18/8)+MOD(INT(J$5/2),2)*INT(Bang_Tra_Cuu!$J$18/8)+MOD(INT(J$5/4),2)*INT(Bang_Tra_Cuu!$K$18/8)+MOD(INT(J$5/8),2)*INT(Bang_Tra_Cuu!$L$18/8),2)*8</f>
        <v/>
      </c>
      <c r="K19" s="17">
        <f>MOD(MOD(K$5,2)*INT(Bang_Tra_Cuu!$I$18/1)+MOD(INT(K$5/2),2)*INT(Bang_Tra_Cuu!$J$18/1)+MOD(INT(K$5/4),2)*INT(Bang_Tra_Cuu!$K$18/1)+MOD(INT(K$5/8),2)*INT(Bang_Tra_Cuu!$L$18/1),2)*1+MOD(MOD(K$5,2)*INT(Bang_Tra_Cuu!$I$18/2)+MOD(INT(K$5/2),2)*INT(Bang_Tra_Cuu!$J$18/2)+MOD(INT(K$5/4),2)*INT(Bang_Tra_Cuu!$K$18/2)+MOD(INT(K$5/8),2)*INT(Bang_Tra_Cuu!$L$18/2),2)*2+MOD(MOD(K$5,2)*INT(Bang_Tra_Cuu!$I$18/4)+MOD(INT(K$5/2),2)*INT(Bang_Tra_Cuu!$J$18/4)+MOD(INT(K$5/4),2)*INT(Bang_Tra_Cuu!$K$18/4)+MOD(INT(K$5/8),2)*INT(Bang_Tra_Cuu!$L$18/4),2)*4+MOD(MOD(K$5,2)*INT(Bang_Tra_Cuu!$I$18/8)+MOD(INT(K$5/2),2)*INT(Bang_Tra_Cuu!$J$18/8)+MOD(INT(K$5/4),2)*INT(Bang_Tra_Cuu!$K$18/8)+MOD(INT(K$5/8),2)*INT(Bang_Tra_Cuu!$L$18/8),2)*8</f>
        <v/>
      </c>
      <c r="L19" s="14">
        <f>MOD(MOD(L$5,2)*INT(Bang_Tra_Cuu!$I$18/1)+MOD(INT(L$5/2),2)*INT(Bang_Tra_Cuu!$J$18/1)+MOD(INT(L$5/4),2)*INT(Bang_Tra_Cuu!$K$18/1)+MOD(INT(L$5/8),2)*INT(Bang_Tra_Cuu!$L$18/1),2)*1+MOD(MOD(L$5,2)*INT(Bang_Tra_Cuu!$I$18/2)+MOD(INT(L$5/2),2)*INT(Bang_Tra_Cuu!$J$18/2)+MOD(INT(L$5/4),2)*INT(Bang_Tra_Cuu!$K$18/2)+MOD(INT(L$5/8),2)*INT(Bang_Tra_Cuu!$L$18/2),2)*2+MOD(MOD(L$5,2)*INT(Bang_Tra_Cuu!$I$18/4)+MOD(INT(L$5/2),2)*INT(Bang_Tra_Cuu!$J$18/4)+MOD(INT(L$5/4),2)*INT(Bang_Tra_Cuu!$K$18/4)+MOD(INT(L$5/8),2)*INT(Bang_Tra_Cuu!$L$18/4),2)*4+MOD(MOD(L$5,2)*INT(Bang_Tra_Cuu!$I$18/8)+MOD(INT(L$5/2),2)*INT(Bang_Tra_Cuu!$J$18/8)+MOD(INT(L$5/4),2)*INT(Bang_Tra_Cuu!$K$18/8)+MOD(INT(L$5/8),2)*INT(Bang_Tra_Cuu!$L$18/8),2)*8</f>
        <v/>
      </c>
      <c r="M19" s="17">
        <f>MOD(MOD(M$5,2)*INT(Bang_Tra_Cuu!$I$18/1)+MOD(INT(M$5/2),2)*INT(Bang_Tra_Cuu!$J$18/1)+MOD(INT(M$5/4),2)*INT(Bang_Tra_Cuu!$K$18/1)+MOD(INT(M$5/8),2)*INT(Bang_Tra_Cuu!$L$18/1),2)*1+MOD(MOD(M$5,2)*INT(Bang_Tra_Cuu!$I$18/2)+MOD(INT(M$5/2),2)*INT(Bang_Tra_Cuu!$J$18/2)+MOD(INT(M$5/4),2)*INT(Bang_Tra_Cuu!$K$18/2)+MOD(INT(M$5/8),2)*INT(Bang_Tra_Cuu!$L$18/2),2)*2+MOD(MOD(M$5,2)*INT(Bang_Tra_Cuu!$I$18/4)+MOD(INT(M$5/2),2)*INT(Bang_Tra_Cuu!$J$18/4)+MOD(INT(M$5/4),2)*INT(Bang_Tra_Cuu!$K$18/4)+MOD(INT(M$5/8),2)*INT(Bang_Tra_Cuu!$L$18/4),2)*4+MOD(MOD(M$5,2)*INT(Bang_Tra_Cuu!$I$18/8)+MOD(INT(M$5/2),2)*INT(Bang_Tra_Cuu!$J$18/8)+MOD(INT(M$5/4),2)*INT(Bang_Tra_Cuu!$K$18/8)+MOD(INT(M$5/8),2)*INT(Bang_Tra_Cuu!$L$18/8),2)*8</f>
        <v/>
      </c>
      <c r="N19" s="14">
        <f>MOD(MOD(N$5,2)*INT(Bang_Tra_Cuu!$I$18/1)+MOD(INT(N$5/2),2)*INT(Bang_Tra_Cuu!$J$18/1)+MOD(INT(N$5/4),2)*INT(Bang_Tra_Cuu!$K$18/1)+MOD(INT(N$5/8),2)*INT(Bang_Tra_Cuu!$L$18/1),2)*1+MOD(MOD(N$5,2)*INT(Bang_Tra_Cuu!$I$18/2)+MOD(INT(N$5/2),2)*INT(Bang_Tra_Cuu!$J$18/2)+MOD(INT(N$5/4),2)*INT(Bang_Tra_Cuu!$K$18/2)+MOD(INT(N$5/8),2)*INT(Bang_Tra_Cuu!$L$18/2),2)*2+MOD(MOD(N$5,2)*INT(Bang_Tra_Cuu!$I$18/4)+MOD(INT(N$5/2),2)*INT(Bang_Tra_Cuu!$J$18/4)+MOD(INT(N$5/4),2)*INT(Bang_Tra_Cuu!$K$18/4)+MOD(INT(N$5/8),2)*INT(Bang_Tra_Cuu!$L$18/4),2)*4+MOD(MOD(N$5,2)*INT(Bang_Tra_Cuu!$I$18/8)+MOD(INT(N$5/2),2)*INT(Bang_Tra_Cuu!$J$18/8)+MOD(INT(N$5/4),2)*INT(Bang_Tra_Cuu!$K$18/8)+MOD(INT(N$5/8),2)*INT(Bang_Tra_Cuu!$L$18/8),2)*8</f>
        <v/>
      </c>
      <c r="O19" s="17">
        <f>MOD(MOD(O$5,2)*INT(Bang_Tra_Cuu!$I$18/1)+MOD(INT(O$5/2),2)*INT(Bang_Tra_Cuu!$J$18/1)+MOD(INT(O$5/4),2)*INT(Bang_Tra_Cuu!$K$18/1)+MOD(INT(O$5/8),2)*INT(Bang_Tra_Cuu!$L$18/1),2)*1+MOD(MOD(O$5,2)*INT(Bang_Tra_Cuu!$I$18/2)+MOD(INT(O$5/2),2)*INT(Bang_Tra_Cuu!$J$18/2)+MOD(INT(O$5/4),2)*INT(Bang_Tra_Cuu!$K$18/2)+MOD(INT(O$5/8),2)*INT(Bang_Tra_Cuu!$L$18/2),2)*2+MOD(MOD(O$5,2)*INT(Bang_Tra_Cuu!$I$18/4)+MOD(INT(O$5/2),2)*INT(Bang_Tra_Cuu!$J$18/4)+MOD(INT(O$5/4),2)*INT(Bang_Tra_Cuu!$K$18/4)+MOD(INT(O$5/8),2)*INT(Bang_Tra_Cuu!$L$18/4),2)*4+MOD(MOD(O$5,2)*INT(Bang_Tra_Cuu!$I$18/8)+MOD(INT(O$5/2),2)*INT(Bang_Tra_Cuu!$J$18/8)+MOD(INT(O$5/4),2)*INT(Bang_Tra_Cuu!$K$18/8)+MOD(INT(O$5/8),2)*INT(Bang_Tra_Cuu!$L$18/8),2)*8</f>
        <v/>
      </c>
      <c r="P19" s="14">
        <f>MOD(MOD(P$5,2)*INT(Bang_Tra_Cuu!$I$18/1)+MOD(INT(P$5/2),2)*INT(Bang_Tra_Cuu!$J$18/1)+MOD(INT(P$5/4),2)*INT(Bang_Tra_Cuu!$K$18/1)+MOD(INT(P$5/8),2)*INT(Bang_Tra_Cuu!$L$18/1),2)*1+MOD(MOD(P$5,2)*INT(Bang_Tra_Cuu!$I$18/2)+MOD(INT(P$5/2),2)*INT(Bang_Tra_Cuu!$J$18/2)+MOD(INT(P$5/4),2)*INT(Bang_Tra_Cuu!$K$18/2)+MOD(INT(P$5/8),2)*INT(Bang_Tra_Cuu!$L$18/2),2)*2+MOD(MOD(P$5,2)*INT(Bang_Tra_Cuu!$I$18/4)+MOD(INT(P$5/2),2)*INT(Bang_Tra_Cuu!$J$18/4)+MOD(INT(P$5/4),2)*INT(Bang_Tra_Cuu!$K$18/4)+MOD(INT(P$5/8),2)*INT(Bang_Tra_Cuu!$L$18/4),2)*4+MOD(MOD(P$5,2)*INT(Bang_Tra_Cuu!$I$18/8)+MOD(INT(P$5/2),2)*INT(Bang_Tra_Cuu!$J$18/8)+MOD(INT(P$5/4),2)*INT(Bang_Tra_Cuu!$K$18/8)+MOD(INT(P$5/8),2)*INT(Bang_Tra_Cuu!$L$18/8),2)*8</f>
        <v/>
      </c>
      <c r="Q19" s="17">
        <f>MOD(MOD(Q$5,2)*INT(Bang_Tra_Cuu!$I$18/1)+MOD(INT(Q$5/2),2)*INT(Bang_Tra_Cuu!$J$18/1)+MOD(INT(Q$5/4),2)*INT(Bang_Tra_Cuu!$K$18/1)+MOD(INT(Q$5/8),2)*INT(Bang_Tra_Cuu!$L$18/1),2)*1+MOD(MOD(Q$5,2)*INT(Bang_Tra_Cuu!$I$18/2)+MOD(INT(Q$5/2),2)*INT(Bang_Tra_Cuu!$J$18/2)+MOD(INT(Q$5/4),2)*INT(Bang_Tra_Cuu!$K$18/2)+MOD(INT(Q$5/8),2)*INT(Bang_Tra_Cuu!$L$18/2),2)*2+MOD(MOD(Q$5,2)*INT(Bang_Tra_Cuu!$I$18/4)+MOD(INT(Q$5/2),2)*INT(Bang_Tra_Cuu!$J$18/4)+MOD(INT(Q$5/4),2)*INT(Bang_Tra_Cuu!$K$18/4)+MOD(INT(Q$5/8),2)*INT(Bang_Tra_Cuu!$L$18/4),2)*4+MOD(MOD(Q$5,2)*INT(Bang_Tra_Cuu!$I$18/8)+MOD(INT(Q$5/2),2)*INT(Bang_Tra_Cuu!$J$18/8)+MOD(INT(Q$5/4),2)*INT(Bang_Tra_Cuu!$K$18/8)+MOD(INT(Q$5/8),2)*INT(Bang_Tra_Cuu!$L$18/8),2)*8</f>
        <v/>
      </c>
      <c r="R19" s="14">
        <f>MOD(MOD(R$5,2)*INT(Bang_Tra_Cuu!$I$18/1)+MOD(INT(R$5/2),2)*INT(Bang_Tra_Cuu!$J$18/1)+MOD(INT(R$5/4),2)*INT(Bang_Tra_Cuu!$K$18/1)+MOD(INT(R$5/8),2)*INT(Bang_Tra_Cuu!$L$18/1),2)*1+MOD(MOD(R$5,2)*INT(Bang_Tra_Cuu!$I$18/2)+MOD(INT(R$5/2),2)*INT(Bang_Tra_Cuu!$J$18/2)+MOD(INT(R$5/4),2)*INT(Bang_Tra_Cuu!$K$18/2)+MOD(INT(R$5/8),2)*INT(Bang_Tra_Cuu!$L$18/2),2)*2+MOD(MOD(R$5,2)*INT(Bang_Tra_Cuu!$I$18/4)+MOD(INT(R$5/2),2)*INT(Bang_Tra_Cuu!$J$18/4)+MOD(INT(R$5/4),2)*INT(Bang_Tra_Cuu!$K$18/4)+MOD(INT(R$5/8),2)*INT(Bang_Tra_Cuu!$L$18/4),2)*4+MOD(MOD(R$5,2)*INT(Bang_Tra_Cuu!$I$18/8)+MOD(INT(R$5/2),2)*INT(Bang_Tra_Cuu!$J$18/8)+MOD(INT(R$5/4),2)*INT(Bang_Tra_Cuu!$K$18/8)+MOD(INT(R$5/8),2)*INT(Bang_Tra_Cuu!$L$18/8),2)*8</f>
        <v/>
      </c>
      <c r="T19" s="17" t="n">
        <v>13</v>
      </c>
      <c r="U19" s="19" t="inlineStr">
        <is>
          <t>x^3 + x^2 + 1</t>
        </is>
      </c>
      <c r="V19" s="17">
        <f>COUNTIF($C$6:$R$21, T19)</f>
        <v/>
      </c>
      <c r="W19" s="17">
        <f>COUNTIF($D$7:$R$21, T19)</f>
        <v/>
      </c>
    </row>
    <row r="20" ht="20" customHeight="1">
      <c r="A20" s="30" t="n">
        <v>14</v>
      </c>
      <c r="B20" s="31" t="inlineStr">
        <is>
          <t>x^3 + x^2 + x</t>
        </is>
      </c>
      <c r="C20" s="14">
        <f>MOD(MOD(C$5,2)*INT(Bang_Tra_Cuu!$I$19/1)+MOD(INT(C$5/2),2)*INT(Bang_Tra_Cuu!$J$19/1)+MOD(INT(C$5/4),2)*INT(Bang_Tra_Cuu!$K$19/1)+MOD(INT(C$5/8),2)*INT(Bang_Tra_Cuu!$L$19/1),2)*1+MOD(MOD(C$5,2)*INT(Bang_Tra_Cuu!$I$19/2)+MOD(INT(C$5/2),2)*INT(Bang_Tra_Cuu!$J$19/2)+MOD(INT(C$5/4),2)*INT(Bang_Tra_Cuu!$K$19/2)+MOD(INT(C$5/8),2)*INT(Bang_Tra_Cuu!$L$19/2),2)*2+MOD(MOD(C$5,2)*INT(Bang_Tra_Cuu!$I$19/4)+MOD(INT(C$5/2),2)*INT(Bang_Tra_Cuu!$J$19/4)+MOD(INT(C$5/4),2)*INT(Bang_Tra_Cuu!$K$19/4)+MOD(INT(C$5/8),2)*INT(Bang_Tra_Cuu!$L$19/4),2)*4+MOD(MOD(C$5,2)*INT(Bang_Tra_Cuu!$I$19/8)+MOD(INT(C$5/2),2)*INT(Bang_Tra_Cuu!$J$19/8)+MOD(INT(C$5/4),2)*INT(Bang_Tra_Cuu!$K$19/8)+MOD(INT(C$5/8),2)*INT(Bang_Tra_Cuu!$L$19/8),2)*8</f>
        <v/>
      </c>
      <c r="D20" s="17">
        <f>MOD(MOD(D$5,2)*INT(Bang_Tra_Cuu!$I$19/1)+MOD(INT(D$5/2),2)*INT(Bang_Tra_Cuu!$J$19/1)+MOD(INT(D$5/4),2)*INT(Bang_Tra_Cuu!$K$19/1)+MOD(INT(D$5/8),2)*INT(Bang_Tra_Cuu!$L$19/1),2)*1+MOD(MOD(D$5,2)*INT(Bang_Tra_Cuu!$I$19/2)+MOD(INT(D$5/2),2)*INT(Bang_Tra_Cuu!$J$19/2)+MOD(INT(D$5/4),2)*INT(Bang_Tra_Cuu!$K$19/2)+MOD(INT(D$5/8),2)*INT(Bang_Tra_Cuu!$L$19/2),2)*2+MOD(MOD(D$5,2)*INT(Bang_Tra_Cuu!$I$19/4)+MOD(INT(D$5/2),2)*INT(Bang_Tra_Cuu!$J$19/4)+MOD(INT(D$5/4),2)*INT(Bang_Tra_Cuu!$K$19/4)+MOD(INT(D$5/8),2)*INT(Bang_Tra_Cuu!$L$19/4),2)*4+MOD(MOD(D$5,2)*INT(Bang_Tra_Cuu!$I$19/8)+MOD(INT(D$5/2),2)*INT(Bang_Tra_Cuu!$J$19/8)+MOD(INT(D$5/4),2)*INT(Bang_Tra_Cuu!$K$19/8)+MOD(INT(D$5/8),2)*INT(Bang_Tra_Cuu!$L$19/8),2)*8</f>
        <v/>
      </c>
      <c r="E20" s="14">
        <f>MOD(MOD(E$5,2)*INT(Bang_Tra_Cuu!$I$19/1)+MOD(INT(E$5/2),2)*INT(Bang_Tra_Cuu!$J$19/1)+MOD(INT(E$5/4),2)*INT(Bang_Tra_Cuu!$K$19/1)+MOD(INT(E$5/8),2)*INT(Bang_Tra_Cuu!$L$19/1),2)*1+MOD(MOD(E$5,2)*INT(Bang_Tra_Cuu!$I$19/2)+MOD(INT(E$5/2),2)*INT(Bang_Tra_Cuu!$J$19/2)+MOD(INT(E$5/4),2)*INT(Bang_Tra_Cuu!$K$19/2)+MOD(INT(E$5/8),2)*INT(Bang_Tra_Cuu!$L$19/2),2)*2+MOD(MOD(E$5,2)*INT(Bang_Tra_Cuu!$I$19/4)+MOD(INT(E$5/2),2)*INT(Bang_Tra_Cuu!$J$19/4)+MOD(INT(E$5/4),2)*INT(Bang_Tra_Cuu!$K$19/4)+MOD(INT(E$5/8),2)*INT(Bang_Tra_Cuu!$L$19/4),2)*4+MOD(MOD(E$5,2)*INT(Bang_Tra_Cuu!$I$19/8)+MOD(INT(E$5/2),2)*INT(Bang_Tra_Cuu!$J$19/8)+MOD(INT(E$5/4),2)*INT(Bang_Tra_Cuu!$K$19/8)+MOD(INT(E$5/8),2)*INT(Bang_Tra_Cuu!$L$19/8),2)*8</f>
        <v/>
      </c>
      <c r="F20" s="17">
        <f>MOD(MOD(F$5,2)*INT(Bang_Tra_Cuu!$I$19/1)+MOD(INT(F$5/2),2)*INT(Bang_Tra_Cuu!$J$19/1)+MOD(INT(F$5/4),2)*INT(Bang_Tra_Cuu!$K$19/1)+MOD(INT(F$5/8),2)*INT(Bang_Tra_Cuu!$L$19/1),2)*1+MOD(MOD(F$5,2)*INT(Bang_Tra_Cuu!$I$19/2)+MOD(INT(F$5/2),2)*INT(Bang_Tra_Cuu!$J$19/2)+MOD(INT(F$5/4),2)*INT(Bang_Tra_Cuu!$K$19/2)+MOD(INT(F$5/8),2)*INT(Bang_Tra_Cuu!$L$19/2),2)*2+MOD(MOD(F$5,2)*INT(Bang_Tra_Cuu!$I$19/4)+MOD(INT(F$5/2),2)*INT(Bang_Tra_Cuu!$J$19/4)+MOD(INT(F$5/4),2)*INT(Bang_Tra_Cuu!$K$19/4)+MOD(INT(F$5/8),2)*INT(Bang_Tra_Cuu!$L$19/4),2)*4+MOD(MOD(F$5,2)*INT(Bang_Tra_Cuu!$I$19/8)+MOD(INT(F$5/2),2)*INT(Bang_Tra_Cuu!$J$19/8)+MOD(INT(F$5/4),2)*INT(Bang_Tra_Cuu!$K$19/8)+MOD(INT(F$5/8),2)*INT(Bang_Tra_Cuu!$L$19/8),2)*8</f>
        <v/>
      </c>
      <c r="G20" s="14">
        <f>MOD(MOD(G$5,2)*INT(Bang_Tra_Cuu!$I$19/1)+MOD(INT(G$5/2),2)*INT(Bang_Tra_Cuu!$J$19/1)+MOD(INT(G$5/4),2)*INT(Bang_Tra_Cuu!$K$19/1)+MOD(INT(G$5/8),2)*INT(Bang_Tra_Cuu!$L$19/1),2)*1+MOD(MOD(G$5,2)*INT(Bang_Tra_Cuu!$I$19/2)+MOD(INT(G$5/2),2)*INT(Bang_Tra_Cuu!$J$19/2)+MOD(INT(G$5/4),2)*INT(Bang_Tra_Cuu!$K$19/2)+MOD(INT(G$5/8),2)*INT(Bang_Tra_Cuu!$L$19/2),2)*2+MOD(MOD(G$5,2)*INT(Bang_Tra_Cuu!$I$19/4)+MOD(INT(G$5/2),2)*INT(Bang_Tra_Cuu!$J$19/4)+MOD(INT(G$5/4),2)*INT(Bang_Tra_Cuu!$K$19/4)+MOD(INT(G$5/8),2)*INT(Bang_Tra_Cuu!$L$19/4),2)*4+MOD(MOD(G$5,2)*INT(Bang_Tra_Cuu!$I$19/8)+MOD(INT(G$5/2),2)*INT(Bang_Tra_Cuu!$J$19/8)+MOD(INT(G$5/4),2)*INT(Bang_Tra_Cuu!$K$19/8)+MOD(INT(G$5/8),2)*INT(Bang_Tra_Cuu!$L$19/8),2)*8</f>
        <v/>
      </c>
      <c r="H20" s="17">
        <f>MOD(MOD(H$5,2)*INT(Bang_Tra_Cuu!$I$19/1)+MOD(INT(H$5/2),2)*INT(Bang_Tra_Cuu!$J$19/1)+MOD(INT(H$5/4),2)*INT(Bang_Tra_Cuu!$K$19/1)+MOD(INT(H$5/8),2)*INT(Bang_Tra_Cuu!$L$19/1),2)*1+MOD(MOD(H$5,2)*INT(Bang_Tra_Cuu!$I$19/2)+MOD(INT(H$5/2),2)*INT(Bang_Tra_Cuu!$J$19/2)+MOD(INT(H$5/4),2)*INT(Bang_Tra_Cuu!$K$19/2)+MOD(INT(H$5/8),2)*INT(Bang_Tra_Cuu!$L$19/2),2)*2+MOD(MOD(H$5,2)*INT(Bang_Tra_Cuu!$I$19/4)+MOD(INT(H$5/2),2)*INT(Bang_Tra_Cuu!$J$19/4)+MOD(INT(H$5/4),2)*INT(Bang_Tra_Cuu!$K$19/4)+MOD(INT(H$5/8),2)*INT(Bang_Tra_Cuu!$L$19/4),2)*4+MOD(MOD(H$5,2)*INT(Bang_Tra_Cuu!$I$19/8)+MOD(INT(H$5/2),2)*INT(Bang_Tra_Cuu!$J$19/8)+MOD(INT(H$5/4),2)*INT(Bang_Tra_Cuu!$K$19/8)+MOD(INT(H$5/8),2)*INT(Bang_Tra_Cuu!$L$19/8),2)*8</f>
        <v/>
      </c>
      <c r="I20" s="14">
        <f>MOD(MOD(I$5,2)*INT(Bang_Tra_Cuu!$I$19/1)+MOD(INT(I$5/2),2)*INT(Bang_Tra_Cuu!$J$19/1)+MOD(INT(I$5/4),2)*INT(Bang_Tra_Cuu!$K$19/1)+MOD(INT(I$5/8),2)*INT(Bang_Tra_Cuu!$L$19/1),2)*1+MOD(MOD(I$5,2)*INT(Bang_Tra_Cuu!$I$19/2)+MOD(INT(I$5/2),2)*INT(Bang_Tra_Cuu!$J$19/2)+MOD(INT(I$5/4),2)*INT(Bang_Tra_Cuu!$K$19/2)+MOD(INT(I$5/8),2)*INT(Bang_Tra_Cuu!$L$19/2),2)*2+MOD(MOD(I$5,2)*INT(Bang_Tra_Cuu!$I$19/4)+MOD(INT(I$5/2),2)*INT(Bang_Tra_Cuu!$J$19/4)+MOD(INT(I$5/4),2)*INT(Bang_Tra_Cuu!$K$19/4)+MOD(INT(I$5/8),2)*INT(Bang_Tra_Cuu!$L$19/4),2)*4+MOD(MOD(I$5,2)*INT(Bang_Tra_Cuu!$I$19/8)+MOD(INT(I$5/2),2)*INT(Bang_Tra_Cuu!$J$19/8)+MOD(INT(I$5/4),2)*INT(Bang_Tra_Cuu!$K$19/8)+MOD(INT(I$5/8),2)*INT(Bang_Tra_Cuu!$L$19/8),2)*8</f>
        <v/>
      </c>
      <c r="J20" s="17">
        <f>MOD(MOD(J$5,2)*INT(Bang_Tra_Cuu!$I$19/1)+MOD(INT(J$5/2),2)*INT(Bang_Tra_Cuu!$J$19/1)+MOD(INT(J$5/4),2)*INT(Bang_Tra_Cuu!$K$19/1)+MOD(INT(J$5/8),2)*INT(Bang_Tra_Cuu!$L$19/1),2)*1+MOD(MOD(J$5,2)*INT(Bang_Tra_Cuu!$I$19/2)+MOD(INT(J$5/2),2)*INT(Bang_Tra_Cuu!$J$19/2)+MOD(INT(J$5/4),2)*INT(Bang_Tra_Cuu!$K$19/2)+MOD(INT(J$5/8),2)*INT(Bang_Tra_Cuu!$L$19/2),2)*2+MOD(MOD(J$5,2)*INT(Bang_Tra_Cuu!$I$19/4)+MOD(INT(J$5/2),2)*INT(Bang_Tra_Cuu!$J$19/4)+MOD(INT(J$5/4),2)*INT(Bang_Tra_Cuu!$K$19/4)+MOD(INT(J$5/8),2)*INT(Bang_Tra_Cuu!$L$19/4),2)*4+MOD(MOD(J$5,2)*INT(Bang_Tra_Cuu!$I$19/8)+MOD(INT(J$5/2),2)*INT(Bang_Tra_Cuu!$J$19/8)+MOD(INT(J$5/4),2)*INT(Bang_Tra_Cuu!$K$19/8)+MOD(INT(J$5/8),2)*INT(Bang_Tra_Cuu!$L$19/8),2)*8</f>
        <v/>
      </c>
      <c r="K20" s="14">
        <f>MOD(MOD(K$5,2)*INT(Bang_Tra_Cuu!$I$19/1)+MOD(INT(K$5/2),2)*INT(Bang_Tra_Cuu!$J$19/1)+MOD(INT(K$5/4),2)*INT(Bang_Tra_Cuu!$K$19/1)+MOD(INT(K$5/8),2)*INT(Bang_Tra_Cuu!$L$19/1),2)*1+MOD(MOD(K$5,2)*INT(Bang_Tra_Cuu!$I$19/2)+MOD(INT(K$5/2),2)*INT(Bang_Tra_Cuu!$J$19/2)+MOD(INT(K$5/4),2)*INT(Bang_Tra_Cuu!$K$19/2)+MOD(INT(K$5/8),2)*INT(Bang_Tra_Cuu!$L$19/2),2)*2+MOD(MOD(K$5,2)*INT(Bang_Tra_Cuu!$I$19/4)+MOD(INT(K$5/2),2)*INT(Bang_Tra_Cuu!$J$19/4)+MOD(INT(K$5/4),2)*INT(Bang_Tra_Cuu!$K$19/4)+MOD(INT(K$5/8),2)*INT(Bang_Tra_Cuu!$L$19/4),2)*4+MOD(MOD(K$5,2)*INT(Bang_Tra_Cuu!$I$19/8)+MOD(INT(K$5/2),2)*INT(Bang_Tra_Cuu!$J$19/8)+MOD(INT(K$5/4),2)*INT(Bang_Tra_Cuu!$K$19/8)+MOD(INT(K$5/8),2)*INT(Bang_Tra_Cuu!$L$19/8),2)*8</f>
        <v/>
      </c>
      <c r="L20" s="17">
        <f>MOD(MOD(L$5,2)*INT(Bang_Tra_Cuu!$I$19/1)+MOD(INT(L$5/2),2)*INT(Bang_Tra_Cuu!$J$19/1)+MOD(INT(L$5/4),2)*INT(Bang_Tra_Cuu!$K$19/1)+MOD(INT(L$5/8),2)*INT(Bang_Tra_Cuu!$L$19/1),2)*1+MOD(MOD(L$5,2)*INT(Bang_Tra_Cuu!$I$19/2)+MOD(INT(L$5/2),2)*INT(Bang_Tra_Cuu!$J$19/2)+MOD(INT(L$5/4),2)*INT(Bang_Tra_Cuu!$K$19/2)+MOD(INT(L$5/8),2)*INT(Bang_Tra_Cuu!$L$19/2),2)*2+MOD(MOD(L$5,2)*INT(Bang_Tra_Cuu!$I$19/4)+MOD(INT(L$5/2),2)*INT(Bang_Tra_Cuu!$J$19/4)+MOD(INT(L$5/4),2)*INT(Bang_Tra_Cuu!$K$19/4)+MOD(INT(L$5/8),2)*INT(Bang_Tra_Cuu!$L$19/4),2)*4+MOD(MOD(L$5,2)*INT(Bang_Tra_Cuu!$I$19/8)+MOD(INT(L$5/2),2)*INT(Bang_Tra_Cuu!$J$19/8)+MOD(INT(L$5/4),2)*INT(Bang_Tra_Cuu!$K$19/8)+MOD(INT(L$5/8),2)*INT(Bang_Tra_Cuu!$L$19/8),2)*8</f>
        <v/>
      </c>
      <c r="M20" s="14">
        <f>MOD(MOD(M$5,2)*INT(Bang_Tra_Cuu!$I$19/1)+MOD(INT(M$5/2),2)*INT(Bang_Tra_Cuu!$J$19/1)+MOD(INT(M$5/4),2)*INT(Bang_Tra_Cuu!$K$19/1)+MOD(INT(M$5/8),2)*INT(Bang_Tra_Cuu!$L$19/1),2)*1+MOD(MOD(M$5,2)*INT(Bang_Tra_Cuu!$I$19/2)+MOD(INT(M$5/2),2)*INT(Bang_Tra_Cuu!$J$19/2)+MOD(INT(M$5/4),2)*INT(Bang_Tra_Cuu!$K$19/2)+MOD(INT(M$5/8),2)*INT(Bang_Tra_Cuu!$L$19/2),2)*2+MOD(MOD(M$5,2)*INT(Bang_Tra_Cuu!$I$19/4)+MOD(INT(M$5/2),2)*INT(Bang_Tra_Cuu!$J$19/4)+MOD(INT(M$5/4),2)*INT(Bang_Tra_Cuu!$K$19/4)+MOD(INT(M$5/8),2)*INT(Bang_Tra_Cuu!$L$19/4),2)*4+MOD(MOD(M$5,2)*INT(Bang_Tra_Cuu!$I$19/8)+MOD(INT(M$5/2),2)*INT(Bang_Tra_Cuu!$J$19/8)+MOD(INT(M$5/4),2)*INT(Bang_Tra_Cuu!$K$19/8)+MOD(INT(M$5/8),2)*INT(Bang_Tra_Cuu!$L$19/8),2)*8</f>
        <v/>
      </c>
      <c r="N20" s="17">
        <f>MOD(MOD(N$5,2)*INT(Bang_Tra_Cuu!$I$19/1)+MOD(INT(N$5/2),2)*INT(Bang_Tra_Cuu!$J$19/1)+MOD(INT(N$5/4),2)*INT(Bang_Tra_Cuu!$K$19/1)+MOD(INT(N$5/8),2)*INT(Bang_Tra_Cuu!$L$19/1),2)*1+MOD(MOD(N$5,2)*INT(Bang_Tra_Cuu!$I$19/2)+MOD(INT(N$5/2),2)*INT(Bang_Tra_Cuu!$J$19/2)+MOD(INT(N$5/4),2)*INT(Bang_Tra_Cuu!$K$19/2)+MOD(INT(N$5/8),2)*INT(Bang_Tra_Cuu!$L$19/2),2)*2+MOD(MOD(N$5,2)*INT(Bang_Tra_Cuu!$I$19/4)+MOD(INT(N$5/2),2)*INT(Bang_Tra_Cuu!$J$19/4)+MOD(INT(N$5/4),2)*INT(Bang_Tra_Cuu!$K$19/4)+MOD(INT(N$5/8),2)*INT(Bang_Tra_Cuu!$L$19/4),2)*4+MOD(MOD(N$5,2)*INT(Bang_Tra_Cuu!$I$19/8)+MOD(INT(N$5/2),2)*INT(Bang_Tra_Cuu!$J$19/8)+MOD(INT(N$5/4),2)*INT(Bang_Tra_Cuu!$K$19/8)+MOD(INT(N$5/8),2)*INT(Bang_Tra_Cuu!$L$19/8),2)*8</f>
        <v/>
      </c>
      <c r="O20" s="14">
        <f>MOD(MOD(O$5,2)*INT(Bang_Tra_Cuu!$I$19/1)+MOD(INT(O$5/2),2)*INT(Bang_Tra_Cuu!$J$19/1)+MOD(INT(O$5/4),2)*INT(Bang_Tra_Cuu!$K$19/1)+MOD(INT(O$5/8),2)*INT(Bang_Tra_Cuu!$L$19/1),2)*1+MOD(MOD(O$5,2)*INT(Bang_Tra_Cuu!$I$19/2)+MOD(INT(O$5/2),2)*INT(Bang_Tra_Cuu!$J$19/2)+MOD(INT(O$5/4),2)*INT(Bang_Tra_Cuu!$K$19/2)+MOD(INT(O$5/8),2)*INT(Bang_Tra_Cuu!$L$19/2),2)*2+MOD(MOD(O$5,2)*INT(Bang_Tra_Cuu!$I$19/4)+MOD(INT(O$5/2),2)*INT(Bang_Tra_Cuu!$J$19/4)+MOD(INT(O$5/4),2)*INT(Bang_Tra_Cuu!$K$19/4)+MOD(INT(O$5/8),2)*INT(Bang_Tra_Cuu!$L$19/4),2)*4+MOD(MOD(O$5,2)*INT(Bang_Tra_Cuu!$I$19/8)+MOD(INT(O$5/2),2)*INT(Bang_Tra_Cuu!$J$19/8)+MOD(INT(O$5/4),2)*INT(Bang_Tra_Cuu!$K$19/8)+MOD(INT(O$5/8),2)*INT(Bang_Tra_Cuu!$L$19/8),2)*8</f>
        <v/>
      </c>
      <c r="P20" s="17">
        <f>MOD(MOD(P$5,2)*INT(Bang_Tra_Cuu!$I$19/1)+MOD(INT(P$5/2),2)*INT(Bang_Tra_Cuu!$J$19/1)+MOD(INT(P$5/4),2)*INT(Bang_Tra_Cuu!$K$19/1)+MOD(INT(P$5/8),2)*INT(Bang_Tra_Cuu!$L$19/1),2)*1+MOD(MOD(P$5,2)*INT(Bang_Tra_Cuu!$I$19/2)+MOD(INT(P$5/2),2)*INT(Bang_Tra_Cuu!$J$19/2)+MOD(INT(P$5/4),2)*INT(Bang_Tra_Cuu!$K$19/2)+MOD(INT(P$5/8),2)*INT(Bang_Tra_Cuu!$L$19/2),2)*2+MOD(MOD(P$5,2)*INT(Bang_Tra_Cuu!$I$19/4)+MOD(INT(P$5/2),2)*INT(Bang_Tra_Cuu!$J$19/4)+MOD(INT(P$5/4),2)*INT(Bang_Tra_Cuu!$K$19/4)+MOD(INT(P$5/8),2)*INT(Bang_Tra_Cuu!$L$19/4),2)*4+MOD(MOD(P$5,2)*INT(Bang_Tra_Cuu!$I$19/8)+MOD(INT(P$5/2),2)*INT(Bang_Tra_Cuu!$J$19/8)+MOD(INT(P$5/4),2)*INT(Bang_Tra_Cuu!$K$19/8)+MOD(INT(P$5/8),2)*INT(Bang_Tra_Cuu!$L$19/8),2)*8</f>
        <v/>
      </c>
      <c r="Q20" s="14">
        <f>MOD(MOD(Q$5,2)*INT(Bang_Tra_Cuu!$I$19/1)+MOD(INT(Q$5/2),2)*INT(Bang_Tra_Cuu!$J$19/1)+MOD(INT(Q$5/4),2)*INT(Bang_Tra_Cuu!$K$19/1)+MOD(INT(Q$5/8),2)*INT(Bang_Tra_Cuu!$L$19/1),2)*1+MOD(MOD(Q$5,2)*INT(Bang_Tra_Cuu!$I$19/2)+MOD(INT(Q$5/2),2)*INT(Bang_Tra_Cuu!$J$19/2)+MOD(INT(Q$5/4),2)*INT(Bang_Tra_Cuu!$K$19/2)+MOD(INT(Q$5/8),2)*INT(Bang_Tra_Cuu!$L$19/2),2)*2+MOD(MOD(Q$5,2)*INT(Bang_Tra_Cuu!$I$19/4)+MOD(INT(Q$5/2),2)*INT(Bang_Tra_Cuu!$J$19/4)+MOD(INT(Q$5/4),2)*INT(Bang_Tra_Cuu!$K$19/4)+MOD(INT(Q$5/8),2)*INT(Bang_Tra_Cuu!$L$19/4),2)*4+MOD(MOD(Q$5,2)*INT(Bang_Tra_Cuu!$I$19/8)+MOD(INT(Q$5/2),2)*INT(Bang_Tra_Cuu!$J$19/8)+MOD(INT(Q$5/4),2)*INT(Bang_Tra_Cuu!$K$19/8)+MOD(INT(Q$5/8),2)*INT(Bang_Tra_Cuu!$L$19/8),2)*8</f>
        <v/>
      </c>
      <c r="R20" s="17">
        <f>MOD(MOD(R$5,2)*INT(Bang_Tra_Cuu!$I$19/1)+MOD(INT(R$5/2),2)*INT(Bang_Tra_Cuu!$J$19/1)+MOD(INT(R$5/4),2)*INT(Bang_Tra_Cuu!$K$19/1)+MOD(INT(R$5/8),2)*INT(Bang_Tra_Cuu!$L$19/1),2)*1+MOD(MOD(R$5,2)*INT(Bang_Tra_Cuu!$I$19/2)+MOD(INT(R$5/2),2)*INT(Bang_Tra_Cuu!$J$19/2)+MOD(INT(R$5/4),2)*INT(Bang_Tra_Cuu!$K$19/2)+MOD(INT(R$5/8),2)*INT(Bang_Tra_Cuu!$L$19/2),2)*2+MOD(MOD(R$5,2)*INT(Bang_Tra_Cuu!$I$19/4)+MOD(INT(R$5/2),2)*INT(Bang_Tra_Cuu!$J$19/4)+MOD(INT(R$5/4),2)*INT(Bang_Tra_Cuu!$K$19/4)+MOD(INT(R$5/8),2)*INT(Bang_Tra_Cuu!$L$19/4),2)*4+MOD(MOD(R$5,2)*INT(Bang_Tra_Cuu!$I$19/8)+MOD(INT(R$5/2),2)*INT(Bang_Tra_Cuu!$J$19/8)+MOD(INT(R$5/4),2)*INT(Bang_Tra_Cuu!$K$19/8)+MOD(INT(R$5/8),2)*INT(Bang_Tra_Cuu!$L$19/8),2)*8</f>
        <v/>
      </c>
      <c r="T20" s="14" t="n">
        <v>14</v>
      </c>
      <c r="U20" s="6" t="inlineStr">
        <is>
          <t>x^3 + x^2 + x</t>
        </is>
      </c>
      <c r="V20" s="14">
        <f>COUNTIF($C$6:$R$21, T20)</f>
        <v/>
      </c>
      <c r="W20" s="14">
        <f>COUNTIF($D$7:$R$21, T20)</f>
        <v/>
      </c>
    </row>
    <row r="21" ht="20" customHeight="1">
      <c r="A21" s="30" t="n">
        <v>15</v>
      </c>
      <c r="B21" s="31" t="inlineStr">
        <is>
          <t>x^3 + x^2 + x + 1</t>
        </is>
      </c>
      <c r="C21" s="17">
        <f>MOD(MOD(C$5,2)*INT(Bang_Tra_Cuu!$I$20/1)+MOD(INT(C$5/2),2)*INT(Bang_Tra_Cuu!$J$20/1)+MOD(INT(C$5/4),2)*INT(Bang_Tra_Cuu!$K$20/1)+MOD(INT(C$5/8),2)*INT(Bang_Tra_Cuu!$L$20/1),2)*1+MOD(MOD(C$5,2)*INT(Bang_Tra_Cuu!$I$20/2)+MOD(INT(C$5/2),2)*INT(Bang_Tra_Cuu!$J$20/2)+MOD(INT(C$5/4),2)*INT(Bang_Tra_Cuu!$K$20/2)+MOD(INT(C$5/8),2)*INT(Bang_Tra_Cuu!$L$20/2),2)*2+MOD(MOD(C$5,2)*INT(Bang_Tra_Cuu!$I$20/4)+MOD(INT(C$5/2),2)*INT(Bang_Tra_Cuu!$J$20/4)+MOD(INT(C$5/4),2)*INT(Bang_Tra_Cuu!$K$20/4)+MOD(INT(C$5/8),2)*INT(Bang_Tra_Cuu!$L$20/4),2)*4+MOD(MOD(C$5,2)*INT(Bang_Tra_Cuu!$I$20/8)+MOD(INT(C$5/2),2)*INT(Bang_Tra_Cuu!$J$20/8)+MOD(INT(C$5/4),2)*INT(Bang_Tra_Cuu!$K$20/8)+MOD(INT(C$5/8),2)*INT(Bang_Tra_Cuu!$L$20/8),2)*8</f>
        <v/>
      </c>
      <c r="D21" s="14">
        <f>MOD(MOD(D$5,2)*INT(Bang_Tra_Cuu!$I$20/1)+MOD(INT(D$5/2),2)*INT(Bang_Tra_Cuu!$J$20/1)+MOD(INT(D$5/4),2)*INT(Bang_Tra_Cuu!$K$20/1)+MOD(INT(D$5/8),2)*INT(Bang_Tra_Cuu!$L$20/1),2)*1+MOD(MOD(D$5,2)*INT(Bang_Tra_Cuu!$I$20/2)+MOD(INT(D$5/2),2)*INT(Bang_Tra_Cuu!$J$20/2)+MOD(INT(D$5/4),2)*INT(Bang_Tra_Cuu!$K$20/2)+MOD(INT(D$5/8),2)*INT(Bang_Tra_Cuu!$L$20/2),2)*2+MOD(MOD(D$5,2)*INT(Bang_Tra_Cuu!$I$20/4)+MOD(INT(D$5/2),2)*INT(Bang_Tra_Cuu!$J$20/4)+MOD(INT(D$5/4),2)*INT(Bang_Tra_Cuu!$K$20/4)+MOD(INT(D$5/8),2)*INT(Bang_Tra_Cuu!$L$20/4),2)*4+MOD(MOD(D$5,2)*INT(Bang_Tra_Cuu!$I$20/8)+MOD(INT(D$5/2),2)*INT(Bang_Tra_Cuu!$J$20/8)+MOD(INT(D$5/4),2)*INT(Bang_Tra_Cuu!$K$20/8)+MOD(INT(D$5/8),2)*INT(Bang_Tra_Cuu!$L$20/8),2)*8</f>
        <v/>
      </c>
      <c r="E21" s="17">
        <f>MOD(MOD(E$5,2)*INT(Bang_Tra_Cuu!$I$20/1)+MOD(INT(E$5/2),2)*INT(Bang_Tra_Cuu!$J$20/1)+MOD(INT(E$5/4),2)*INT(Bang_Tra_Cuu!$K$20/1)+MOD(INT(E$5/8),2)*INT(Bang_Tra_Cuu!$L$20/1),2)*1+MOD(MOD(E$5,2)*INT(Bang_Tra_Cuu!$I$20/2)+MOD(INT(E$5/2),2)*INT(Bang_Tra_Cuu!$J$20/2)+MOD(INT(E$5/4),2)*INT(Bang_Tra_Cuu!$K$20/2)+MOD(INT(E$5/8),2)*INT(Bang_Tra_Cuu!$L$20/2),2)*2+MOD(MOD(E$5,2)*INT(Bang_Tra_Cuu!$I$20/4)+MOD(INT(E$5/2),2)*INT(Bang_Tra_Cuu!$J$20/4)+MOD(INT(E$5/4),2)*INT(Bang_Tra_Cuu!$K$20/4)+MOD(INT(E$5/8),2)*INT(Bang_Tra_Cuu!$L$20/4),2)*4+MOD(MOD(E$5,2)*INT(Bang_Tra_Cuu!$I$20/8)+MOD(INT(E$5/2),2)*INT(Bang_Tra_Cuu!$J$20/8)+MOD(INT(E$5/4),2)*INT(Bang_Tra_Cuu!$K$20/8)+MOD(INT(E$5/8),2)*INT(Bang_Tra_Cuu!$L$20/8),2)*8</f>
        <v/>
      </c>
      <c r="F21" s="14">
        <f>MOD(MOD(F$5,2)*INT(Bang_Tra_Cuu!$I$20/1)+MOD(INT(F$5/2),2)*INT(Bang_Tra_Cuu!$J$20/1)+MOD(INT(F$5/4),2)*INT(Bang_Tra_Cuu!$K$20/1)+MOD(INT(F$5/8),2)*INT(Bang_Tra_Cuu!$L$20/1),2)*1+MOD(MOD(F$5,2)*INT(Bang_Tra_Cuu!$I$20/2)+MOD(INT(F$5/2),2)*INT(Bang_Tra_Cuu!$J$20/2)+MOD(INT(F$5/4),2)*INT(Bang_Tra_Cuu!$K$20/2)+MOD(INT(F$5/8),2)*INT(Bang_Tra_Cuu!$L$20/2),2)*2+MOD(MOD(F$5,2)*INT(Bang_Tra_Cuu!$I$20/4)+MOD(INT(F$5/2),2)*INT(Bang_Tra_Cuu!$J$20/4)+MOD(INT(F$5/4),2)*INT(Bang_Tra_Cuu!$K$20/4)+MOD(INT(F$5/8),2)*INT(Bang_Tra_Cuu!$L$20/4),2)*4+MOD(MOD(F$5,2)*INT(Bang_Tra_Cuu!$I$20/8)+MOD(INT(F$5/2),2)*INT(Bang_Tra_Cuu!$J$20/8)+MOD(INT(F$5/4),2)*INT(Bang_Tra_Cuu!$K$20/8)+MOD(INT(F$5/8),2)*INT(Bang_Tra_Cuu!$L$20/8),2)*8</f>
        <v/>
      </c>
      <c r="G21" s="17">
        <f>MOD(MOD(G$5,2)*INT(Bang_Tra_Cuu!$I$20/1)+MOD(INT(G$5/2),2)*INT(Bang_Tra_Cuu!$J$20/1)+MOD(INT(G$5/4),2)*INT(Bang_Tra_Cuu!$K$20/1)+MOD(INT(G$5/8),2)*INT(Bang_Tra_Cuu!$L$20/1),2)*1+MOD(MOD(G$5,2)*INT(Bang_Tra_Cuu!$I$20/2)+MOD(INT(G$5/2),2)*INT(Bang_Tra_Cuu!$J$20/2)+MOD(INT(G$5/4),2)*INT(Bang_Tra_Cuu!$K$20/2)+MOD(INT(G$5/8),2)*INT(Bang_Tra_Cuu!$L$20/2),2)*2+MOD(MOD(G$5,2)*INT(Bang_Tra_Cuu!$I$20/4)+MOD(INT(G$5/2),2)*INT(Bang_Tra_Cuu!$J$20/4)+MOD(INT(G$5/4),2)*INT(Bang_Tra_Cuu!$K$20/4)+MOD(INT(G$5/8),2)*INT(Bang_Tra_Cuu!$L$20/4),2)*4+MOD(MOD(G$5,2)*INT(Bang_Tra_Cuu!$I$20/8)+MOD(INT(G$5/2),2)*INT(Bang_Tra_Cuu!$J$20/8)+MOD(INT(G$5/4),2)*INT(Bang_Tra_Cuu!$K$20/8)+MOD(INT(G$5/8),2)*INT(Bang_Tra_Cuu!$L$20/8),2)*8</f>
        <v/>
      </c>
      <c r="H21" s="14">
        <f>MOD(MOD(H$5,2)*INT(Bang_Tra_Cuu!$I$20/1)+MOD(INT(H$5/2),2)*INT(Bang_Tra_Cuu!$J$20/1)+MOD(INT(H$5/4),2)*INT(Bang_Tra_Cuu!$K$20/1)+MOD(INT(H$5/8),2)*INT(Bang_Tra_Cuu!$L$20/1),2)*1+MOD(MOD(H$5,2)*INT(Bang_Tra_Cuu!$I$20/2)+MOD(INT(H$5/2),2)*INT(Bang_Tra_Cuu!$J$20/2)+MOD(INT(H$5/4),2)*INT(Bang_Tra_Cuu!$K$20/2)+MOD(INT(H$5/8),2)*INT(Bang_Tra_Cuu!$L$20/2),2)*2+MOD(MOD(H$5,2)*INT(Bang_Tra_Cuu!$I$20/4)+MOD(INT(H$5/2),2)*INT(Bang_Tra_Cuu!$J$20/4)+MOD(INT(H$5/4),2)*INT(Bang_Tra_Cuu!$K$20/4)+MOD(INT(H$5/8),2)*INT(Bang_Tra_Cuu!$L$20/4),2)*4+MOD(MOD(H$5,2)*INT(Bang_Tra_Cuu!$I$20/8)+MOD(INT(H$5/2),2)*INT(Bang_Tra_Cuu!$J$20/8)+MOD(INT(H$5/4),2)*INT(Bang_Tra_Cuu!$K$20/8)+MOD(INT(H$5/8),2)*INT(Bang_Tra_Cuu!$L$20/8),2)*8</f>
        <v/>
      </c>
      <c r="I21" s="17">
        <f>MOD(MOD(I$5,2)*INT(Bang_Tra_Cuu!$I$20/1)+MOD(INT(I$5/2),2)*INT(Bang_Tra_Cuu!$J$20/1)+MOD(INT(I$5/4),2)*INT(Bang_Tra_Cuu!$K$20/1)+MOD(INT(I$5/8),2)*INT(Bang_Tra_Cuu!$L$20/1),2)*1+MOD(MOD(I$5,2)*INT(Bang_Tra_Cuu!$I$20/2)+MOD(INT(I$5/2),2)*INT(Bang_Tra_Cuu!$J$20/2)+MOD(INT(I$5/4),2)*INT(Bang_Tra_Cuu!$K$20/2)+MOD(INT(I$5/8),2)*INT(Bang_Tra_Cuu!$L$20/2),2)*2+MOD(MOD(I$5,2)*INT(Bang_Tra_Cuu!$I$20/4)+MOD(INT(I$5/2),2)*INT(Bang_Tra_Cuu!$J$20/4)+MOD(INT(I$5/4),2)*INT(Bang_Tra_Cuu!$K$20/4)+MOD(INT(I$5/8),2)*INT(Bang_Tra_Cuu!$L$20/4),2)*4+MOD(MOD(I$5,2)*INT(Bang_Tra_Cuu!$I$20/8)+MOD(INT(I$5/2),2)*INT(Bang_Tra_Cuu!$J$20/8)+MOD(INT(I$5/4),2)*INT(Bang_Tra_Cuu!$K$20/8)+MOD(INT(I$5/8),2)*INT(Bang_Tra_Cuu!$L$20/8),2)*8</f>
        <v/>
      </c>
      <c r="J21" s="14">
        <f>MOD(MOD(J$5,2)*INT(Bang_Tra_Cuu!$I$20/1)+MOD(INT(J$5/2),2)*INT(Bang_Tra_Cuu!$J$20/1)+MOD(INT(J$5/4),2)*INT(Bang_Tra_Cuu!$K$20/1)+MOD(INT(J$5/8),2)*INT(Bang_Tra_Cuu!$L$20/1),2)*1+MOD(MOD(J$5,2)*INT(Bang_Tra_Cuu!$I$20/2)+MOD(INT(J$5/2),2)*INT(Bang_Tra_Cuu!$J$20/2)+MOD(INT(J$5/4),2)*INT(Bang_Tra_Cuu!$K$20/2)+MOD(INT(J$5/8),2)*INT(Bang_Tra_Cuu!$L$20/2),2)*2+MOD(MOD(J$5,2)*INT(Bang_Tra_Cuu!$I$20/4)+MOD(INT(J$5/2),2)*INT(Bang_Tra_Cuu!$J$20/4)+MOD(INT(J$5/4),2)*INT(Bang_Tra_Cuu!$K$20/4)+MOD(INT(J$5/8),2)*INT(Bang_Tra_Cuu!$L$20/4),2)*4+MOD(MOD(J$5,2)*INT(Bang_Tra_Cuu!$I$20/8)+MOD(INT(J$5/2),2)*INT(Bang_Tra_Cuu!$J$20/8)+MOD(INT(J$5/4),2)*INT(Bang_Tra_Cuu!$K$20/8)+MOD(INT(J$5/8),2)*INT(Bang_Tra_Cuu!$L$20/8),2)*8</f>
        <v/>
      </c>
      <c r="K21" s="17">
        <f>MOD(MOD(K$5,2)*INT(Bang_Tra_Cuu!$I$20/1)+MOD(INT(K$5/2),2)*INT(Bang_Tra_Cuu!$J$20/1)+MOD(INT(K$5/4),2)*INT(Bang_Tra_Cuu!$K$20/1)+MOD(INT(K$5/8),2)*INT(Bang_Tra_Cuu!$L$20/1),2)*1+MOD(MOD(K$5,2)*INT(Bang_Tra_Cuu!$I$20/2)+MOD(INT(K$5/2),2)*INT(Bang_Tra_Cuu!$J$20/2)+MOD(INT(K$5/4),2)*INT(Bang_Tra_Cuu!$K$20/2)+MOD(INT(K$5/8),2)*INT(Bang_Tra_Cuu!$L$20/2),2)*2+MOD(MOD(K$5,2)*INT(Bang_Tra_Cuu!$I$20/4)+MOD(INT(K$5/2),2)*INT(Bang_Tra_Cuu!$J$20/4)+MOD(INT(K$5/4),2)*INT(Bang_Tra_Cuu!$K$20/4)+MOD(INT(K$5/8),2)*INT(Bang_Tra_Cuu!$L$20/4),2)*4+MOD(MOD(K$5,2)*INT(Bang_Tra_Cuu!$I$20/8)+MOD(INT(K$5/2),2)*INT(Bang_Tra_Cuu!$J$20/8)+MOD(INT(K$5/4),2)*INT(Bang_Tra_Cuu!$K$20/8)+MOD(INT(K$5/8),2)*INT(Bang_Tra_Cuu!$L$20/8),2)*8</f>
        <v/>
      </c>
      <c r="L21" s="14">
        <f>MOD(MOD(L$5,2)*INT(Bang_Tra_Cuu!$I$20/1)+MOD(INT(L$5/2),2)*INT(Bang_Tra_Cuu!$J$20/1)+MOD(INT(L$5/4),2)*INT(Bang_Tra_Cuu!$K$20/1)+MOD(INT(L$5/8),2)*INT(Bang_Tra_Cuu!$L$20/1),2)*1+MOD(MOD(L$5,2)*INT(Bang_Tra_Cuu!$I$20/2)+MOD(INT(L$5/2),2)*INT(Bang_Tra_Cuu!$J$20/2)+MOD(INT(L$5/4),2)*INT(Bang_Tra_Cuu!$K$20/2)+MOD(INT(L$5/8),2)*INT(Bang_Tra_Cuu!$L$20/2),2)*2+MOD(MOD(L$5,2)*INT(Bang_Tra_Cuu!$I$20/4)+MOD(INT(L$5/2),2)*INT(Bang_Tra_Cuu!$J$20/4)+MOD(INT(L$5/4),2)*INT(Bang_Tra_Cuu!$K$20/4)+MOD(INT(L$5/8),2)*INT(Bang_Tra_Cuu!$L$20/4),2)*4+MOD(MOD(L$5,2)*INT(Bang_Tra_Cuu!$I$20/8)+MOD(INT(L$5/2),2)*INT(Bang_Tra_Cuu!$J$20/8)+MOD(INT(L$5/4),2)*INT(Bang_Tra_Cuu!$K$20/8)+MOD(INT(L$5/8),2)*INT(Bang_Tra_Cuu!$L$20/8),2)*8</f>
        <v/>
      </c>
      <c r="M21" s="17">
        <f>MOD(MOD(M$5,2)*INT(Bang_Tra_Cuu!$I$20/1)+MOD(INT(M$5/2),2)*INT(Bang_Tra_Cuu!$J$20/1)+MOD(INT(M$5/4),2)*INT(Bang_Tra_Cuu!$K$20/1)+MOD(INT(M$5/8),2)*INT(Bang_Tra_Cuu!$L$20/1),2)*1+MOD(MOD(M$5,2)*INT(Bang_Tra_Cuu!$I$20/2)+MOD(INT(M$5/2),2)*INT(Bang_Tra_Cuu!$J$20/2)+MOD(INT(M$5/4),2)*INT(Bang_Tra_Cuu!$K$20/2)+MOD(INT(M$5/8),2)*INT(Bang_Tra_Cuu!$L$20/2),2)*2+MOD(MOD(M$5,2)*INT(Bang_Tra_Cuu!$I$20/4)+MOD(INT(M$5/2),2)*INT(Bang_Tra_Cuu!$J$20/4)+MOD(INT(M$5/4),2)*INT(Bang_Tra_Cuu!$K$20/4)+MOD(INT(M$5/8),2)*INT(Bang_Tra_Cuu!$L$20/4),2)*4+MOD(MOD(M$5,2)*INT(Bang_Tra_Cuu!$I$20/8)+MOD(INT(M$5/2),2)*INT(Bang_Tra_Cuu!$J$20/8)+MOD(INT(M$5/4),2)*INT(Bang_Tra_Cuu!$K$20/8)+MOD(INT(M$5/8),2)*INT(Bang_Tra_Cuu!$L$20/8),2)*8</f>
        <v/>
      </c>
      <c r="N21" s="14">
        <f>MOD(MOD(N$5,2)*INT(Bang_Tra_Cuu!$I$20/1)+MOD(INT(N$5/2),2)*INT(Bang_Tra_Cuu!$J$20/1)+MOD(INT(N$5/4),2)*INT(Bang_Tra_Cuu!$K$20/1)+MOD(INT(N$5/8),2)*INT(Bang_Tra_Cuu!$L$20/1),2)*1+MOD(MOD(N$5,2)*INT(Bang_Tra_Cuu!$I$20/2)+MOD(INT(N$5/2),2)*INT(Bang_Tra_Cuu!$J$20/2)+MOD(INT(N$5/4),2)*INT(Bang_Tra_Cuu!$K$20/2)+MOD(INT(N$5/8),2)*INT(Bang_Tra_Cuu!$L$20/2),2)*2+MOD(MOD(N$5,2)*INT(Bang_Tra_Cuu!$I$20/4)+MOD(INT(N$5/2),2)*INT(Bang_Tra_Cuu!$J$20/4)+MOD(INT(N$5/4),2)*INT(Bang_Tra_Cuu!$K$20/4)+MOD(INT(N$5/8),2)*INT(Bang_Tra_Cuu!$L$20/4),2)*4+MOD(MOD(N$5,2)*INT(Bang_Tra_Cuu!$I$20/8)+MOD(INT(N$5/2),2)*INT(Bang_Tra_Cuu!$J$20/8)+MOD(INT(N$5/4),2)*INT(Bang_Tra_Cuu!$K$20/8)+MOD(INT(N$5/8),2)*INT(Bang_Tra_Cuu!$L$20/8),2)*8</f>
        <v/>
      </c>
      <c r="O21" s="17">
        <f>MOD(MOD(O$5,2)*INT(Bang_Tra_Cuu!$I$20/1)+MOD(INT(O$5/2),2)*INT(Bang_Tra_Cuu!$J$20/1)+MOD(INT(O$5/4),2)*INT(Bang_Tra_Cuu!$K$20/1)+MOD(INT(O$5/8),2)*INT(Bang_Tra_Cuu!$L$20/1),2)*1+MOD(MOD(O$5,2)*INT(Bang_Tra_Cuu!$I$20/2)+MOD(INT(O$5/2),2)*INT(Bang_Tra_Cuu!$J$20/2)+MOD(INT(O$5/4),2)*INT(Bang_Tra_Cuu!$K$20/2)+MOD(INT(O$5/8),2)*INT(Bang_Tra_Cuu!$L$20/2),2)*2+MOD(MOD(O$5,2)*INT(Bang_Tra_Cuu!$I$20/4)+MOD(INT(O$5/2),2)*INT(Bang_Tra_Cuu!$J$20/4)+MOD(INT(O$5/4),2)*INT(Bang_Tra_Cuu!$K$20/4)+MOD(INT(O$5/8),2)*INT(Bang_Tra_Cuu!$L$20/4),2)*4+MOD(MOD(O$5,2)*INT(Bang_Tra_Cuu!$I$20/8)+MOD(INT(O$5/2),2)*INT(Bang_Tra_Cuu!$J$20/8)+MOD(INT(O$5/4),2)*INT(Bang_Tra_Cuu!$K$20/8)+MOD(INT(O$5/8),2)*INT(Bang_Tra_Cuu!$L$20/8),2)*8</f>
        <v/>
      </c>
      <c r="P21" s="14">
        <f>MOD(MOD(P$5,2)*INT(Bang_Tra_Cuu!$I$20/1)+MOD(INT(P$5/2),2)*INT(Bang_Tra_Cuu!$J$20/1)+MOD(INT(P$5/4),2)*INT(Bang_Tra_Cuu!$K$20/1)+MOD(INT(P$5/8),2)*INT(Bang_Tra_Cuu!$L$20/1),2)*1+MOD(MOD(P$5,2)*INT(Bang_Tra_Cuu!$I$20/2)+MOD(INT(P$5/2),2)*INT(Bang_Tra_Cuu!$J$20/2)+MOD(INT(P$5/4),2)*INT(Bang_Tra_Cuu!$K$20/2)+MOD(INT(P$5/8),2)*INT(Bang_Tra_Cuu!$L$20/2),2)*2+MOD(MOD(P$5,2)*INT(Bang_Tra_Cuu!$I$20/4)+MOD(INT(P$5/2),2)*INT(Bang_Tra_Cuu!$J$20/4)+MOD(INT(P$5/4),2)*INT(Bang_Tra_Cuu!$K$20/4)+MOD(INT(P$5/8),2)*INT(Bang_Tra_Cuu!$L$20/4),2)*4+MOD(MOD(P$5,2)*INT(Bang_Tra_Cuu!$I$20/8)+MOD(INT(P$5/2),2)*INT(Bang_Tra_Cuu!$J$20/8)+MOD(INT(P$5/4),2)*INT(Bang_Tra_Cuu!$K$20/8)+MOD(INT(P$5/8),2)*INT(Bang_Tra_Cuu!$L$20/8),2)*8</f>
        <v/>
      </c>
      <c r="Q21" s="17">
        <f>MOD(MOD(Q$5,2)*INT(Bang_Tra_Cuu!$I$20/1)+MOD(INT(Q$5/2),2)*INT(Bang_Tra_Cuu!$J$20/1)+MOD(INT(Q$5/4),2)*INT(Bang_Tra_Cuu!$K$20/1)+MOD(INT(Q$5/8),2)*INT(Bang_Tra_Cuu!$L$20/1),2)*1+MOD(MOD(Q$5,2)*INT(Bang_Tra_Cuu!$I$20/2)+MOD(INT(Q$5/2),2)*INT(Bang_Tra_Cuu!$J$20/2)+MOD(INT(Q$5/4),2)*INT(Bang_Tra_Cuu!$K$20/2)+MOD(INT(Q$5/8),2)*INT(Bang_Tra_Cuu!$L$20/2),2)*2+MOD(MOD(Q$5,2)*INT(Bang_Tra_Cuu!$I$20/4)+MOD(INT(Q$5/2),2)*INT(Bang_Tra_Cuu!$J$20/4)+MOD(INT(Q$5/4),2)*INT(Bang_Tra_Cuu!$K$20/4)+MOD(INT(Q$5/8),2)*INT(Bang_Tra_Cuu!$L$20/4),2)*4+MOD(MOD(Q$5,2)*INT(Bang_Tra_Cuu!$I$20/8)+MOD(INT(Q$5/2),2)*INT(Bang_Tra_Cuu!$J$20/8)+MOD(INT(Q$5/4),2)*INT(Bang_Tra_Cuu!$K$20/8)+MOD(INT(Q$5/8),2)*INT(Bang_Tra_Cuu!$L$20/8),2)*8</f>
        <v/>
      </c>
      <c r="R21" s="14">
        <f>MOD(MOD(R$5,2)*INT(Bang_Tra_Cuu!$I$20/1)+MOD(INT(R$5/2),2)*INT(Bang_Tra_Cuu!$J$20/1)+MOD(INT(R$5/4),2)*INT(Bang_Tra_Cuu!$K$20/1)+MOD(INT(R$5/8),2)*INT(Bang_Tra_Cuu!$L$20/1),2)*1+MOD(MOD(R$5,2)*INT(Bang_Tra_Cuu!$I$20/2)+MOD(INT(R$5/2),2)*INT(Bang_Tra_Cuu!$J$20/2)+MOD(INT(R$5/4),2)*INT(Bang_Tra_Cuu!$K$20/2)+MOD(INT(R$5/8),2)*INT(Bang_Tra_Cuu!$L$20/2),2)*2+MOD(MOD(R$5,2)*INT(Bang_Tra_Cuu!$I$20/4)+MOD(INT(R$5/2),2)*INT(Bang_Tra_Cuu!$J$20/4)+MOD(INT(R$5/4),2)*INT(Bang_Tra_Cuu!$K$20/4)+MOD(INT(R$5/8),2)*INT(Bang_Tra_Cuu!$L$20/4),2)*4+MOD(MOD(R$5,2)*INT(Bang_Tra_Cuu!$I$20/8)+MOD(INT(R$5/2),2)*INT(Bang_Tra_Cuu!$J$20/8)+MOD(INT(R$5/4),2)*INT(Bang_Tra_Cuu!$K$20/8)+MOD(INT(R$5/8),2)*INT(Bang_Tra_Cuu!$L$20/8),2)*8</f>
        <v/>
      </c>
      <c r="T21" s="17" t="n">
        <v>15</v>
      </c>
      <c r="U21" s="19" t="inlineStr">
        <is>
          <t>x^3 + x^2 + x + 1</t>
        </is>
      </c>
      <c r="V21" s="17">
        <f>COUNTIF($C$6:$R$21, T21)</f>
        <v/>
      </c>
      <c r="W21" s="17">
        <f>COUNTIF($D$7:$R$21, T21)</f>
        <v/>
      </c>
    </row>
    <row r="22">
      <c r="T22" s="20" t="inlineStr">
        <is>
          <t>TỔNG SỐ PHÉP NHÂN</t>
        </is>
      </c>
      <c r="U22" s="32" t="n"/>
      <c r="V22" s="21">
        <f>SUM(V6:V21)</f>
        <v/>
      </c>
      <c r="W22" s="21">
        <f>SUM(W6:W21)</f>
        <v/>
      </c>
    </row>
  </sheetData>
  <mergeCells count="4">
    <mergeCell ref="A2:W2"/>
    <mergeCell ref="T4:W4"/>
    <mergeCell ref="T22:U22"/>
    <mergeCell ref="A1:W1"/>
  </mergeCells>
  <conditionalFormatting sqref="C6:R21">
    <cfRule type="cellIs" priority="1" operator="equal" dxfId="0" stopIfTrue="1">
      <formula>1</formula>
    </cfRule>
    <cfRule type="cellIs" priority="2" operator="equal" dxfId="2" stopIfTrue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2" customWidth="1" min="4" max="4"/>
    <col width="14" customWidth="1" min="5" max="5"/>
    <col width="24" customWidth="1" min="6" max="6"/>
    <col width="20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BẢNG TRA CỨU PHẦN TỬ TRƯỜNG HỮU HẠN GF(2^4) &amp; ĐA THỨC TỐI GIẢN</t>
        </is>
      </c>
    </row>
    <row r="2" ht="20" customHeight="1">
      <c r="A2" s="2" t="inlineStr">
        <is>
          <t>Cung cấp dữ liệu ánh xạ nhị phân, Hex, đa thức, phần tử sinh g^k và luỹ thừa nhân x^k phục vụ tính toán tự động</t>
        </is>
      </c>
    </row>
    <row r="4" ht="28" customHeight="1">
      <c r="A4" s="4" t="inlineStr">
        <is>
          <t>Thập phân</t>
        </is>
      </c>
      <c r="B4" s="4" t="inlineStr">
        <is>
          <t>Mã Hex</t>
        </is>
      </c>
      <c r="C4" s="4" t="inlineStr">
        <is>
          <t>Nhị phân (4-bit)</t>
        </is>
      </c>
      <c r="D4" s="4" t="inlineStr">
        <is>
          <t>Biểu diễn đa thức f(x)</t>
        </is>
      </c>
      <c r="E4" s="4" t="inlineStr">
        <is>
          <t>Bậc đa thức</t>
        </is>
      </c>
      <c r="F4" s="4" t="inlineStr">
        <is>
          <t>Phần tử sinh (m = x^4+x+1)</t>
        </is>
      </c>
      <c r="G4" s="4" t="inlineStr">
        <is>
          <t>Nghịch đảo nhân a^(-1)</t>
        </is>
      </c>
      <c r="H4" s="4" t="inlineStr">
        <is>
          <t>Đa thức nghịch đảo</t>
        </is>
      </c>
      <c r="I4" s="4" t="inlineStr">
        <is>
          <t>a * x^0 mod m</t>
        </is>
      </c>
      <c r="J4" s="4" t="inlineStr">
        <is>
          <t>a * x^1 mod m</t>
        </is>
      </c>
      <c r="K4" s="4" t="inlineStr">
        <is>
          <t>a * x^2 mod m</t>
        </is>
      </c>
      <c r="L4" s="4" t="inlineStr">
        <is>
          <t>a * x^3 mod m</t>
        </is>
      </c>
    </row>
    <row r="5" ht="21" customHeight="1">
      <c r="A5" s="14" t="n">
        <v>0</v>
      </c>
      <c r="B5" s="15" t="inlineStr">
        <is>
          <t>0x0</t>
        </is>
      </c>
      <c r="C5" s="15">
        <f>MOD(INT(A5/8),2)&amp;MOD(INT(A5/4),2)&amp;MOD(INT(A5/2),2)&amp;MOD(A5,2)</f>
        <v/>
      </c>
      <c r="D5" s="6" t="inlineStr">
        <is>
          <t>0</t>
        </is>
      </c>
      <c r="E5" s="14" t="inlineStr">
        <is>
          <t>-</t>
        </is>
      </c>
      <c r="F5" s="15" t="inlineStr">
        <is>
          <t>0</t>
        </is>
      </c>
      <c r="G5" s="14" t="inlineStr">
        <is>
          <t>Không có</t>
        </is>
      </c>
      <c r="H5" s="14" t="inlineStr">
        <is>
          <t>-</t>
        </is>
      </c>
      <c r="I5" s="14">
        <f>A5</f>
        <v/>
      </c>
      <c r="J5" s="14">
        <f>IF(I5*2&gt;=16, (MOD(INT(I5*2/16)+INT(Mo_Phong_Tung_Buoc!$C$8/16),2)*16+MOD(INT(I5*2/8)+INT(Mo_Phong_Tung_Buoc!$C$8/8),2)*8+MOD(INT(I5*2/4)+INT(Mo_Phong_Tung_Buoc!$C$8/4),2)*4+MOD(INT(I5*2/2)+INT(Mo_Phong_Tung_Buoc!$C$8/2),2)*2+MOD(I5*2+Mo_Phong_Tung_Buoc!$C$8,2)), I5*2)</f>
        <v/>
      </c>
      <c r="K5" s="14">
        <f>IF(J5*2&gt;=16, (MOD(INT(J5*2/16)+INT(Mo_Phong_Tung_Buoc!$C$8/16),2)*16+MOD(INT(J5*2/8)+INT(Mo_Phong_Tung_Buoc!$C$8/8),2)*8+MOD(INT(J5*2/4)+INT(Mo_Phong_Tung_Buoc!$C$8/4),2)*4+MOD(INT(J5*2/2)+INT(Mo_Phong_Tung_Buoc!$C$8/2),2)*2+MOD(J5*2+Mo_Phong_Tung_Buoc!$C$8,2)), J5*2)</f>
        <v/>
      </c>
      <c r="L5" s="14">
        <f>IF(K5*2&gt;=16, (MOD(INT(K5*2/16)+INT(Mo_Phong_Tung_Buoc!$C$8/16),2)*16+MOD(INT(K5*2/8)+INT(Mo_Phong_Tung_Buoc!$C$8/8),2)*8+MOD(INT(K5*2/4)+INT(Mo_Phong_Tung_Buoc!$C$8/4),2)*4+MOD(INT(K5*2/2)+INT(Mo_Phong_Tung_Buoc!$C$8/2),2)*2+MOD(K5*2+Mo_Phong_Tung_Buoc!$C$8,2)), K5*2)</f>
        <v/>
      </c>
    </row>
    <row r="6" ht="21" customHeight="1">
      <c r="A6" s="17" t="n">
        <v>1</v>
      </c>
      <c r="B6" s="18" t="inlineStr">
        <is>
          <t>0x1</t>
        </is>
      </c>
      <c r="C6" s="18">
        <f>MOD(INT(A6/8),2)&amp;MOD(INT(A6/4),2)&amp;MOD(INT(A6/2),2)&amp;MOD(A6,2)</f>
        <v/>
      </c>
      <c r="D6" s="19" t="inlineStr">
        <is>
          <t>1</t>
        </is>
      </c>
      <c r="E6" s="17" t="n">
        <v>0</v>
      </c>
      <c r="F6" s="18" t="inlineStr">
        <is>
          <t>g^0</t>
        </is>
      </c>
      <c r="G6" s="17">
        <f>MATCH(1, Bang_Nhan_16x16!C7:R7, 0)-1</f>
        <v/>
      </c>
      <c r="H6" s="19">
        <f>INDEX($D$5:$D$20, G6+1)</f>
        <v/>
      </c>
      <c r="I6" s="17">
        <f>A6</f>
        <v/>
      </c>
      <c r="J6" s="17">
        <f>IF(I6*2&gt;=16, (MOD(INT(I6*2/16)+INT(Mo_Phong_Tung_Buoc!$C$8/16),2)*16+MOD(INT(I6*2/8)+INT(Mo_Phong_Tung_Buoc!$C$8/8),2)*8+MOD(INT(I6*2/4)+INT(Mo_Phong_Tung_Buoc!$C$8/4),2)*4+MOD(INT(I6*2/2)+INT(Mo_Phong_Tung_Buoc!$C$8/2),2)*2+MOD(I6*2+Mo_Phong_Tung_Buoc!$C$8,2)), I6*2)</f>
        <v/>
      </c>
      <c r="K6" s="17">
        <f>IF(J6*2&gt;=16, (MOD(INT(J6*2/16)+INT(Mo_Phong_Tung_Buoc!$C$8/16),2)*16+MOD(INT(J6*2/8)+INT(Mo_Phong_Tung_Buoc!$C$8/8),2)*8+MOD(INT(J6*2/4)+INT(Mo_Phong_Tung_Buoc!$C$8/4),2)*4+MOD(INT(J6*2/2)+INT(Mo_Phong_Tung_Buoc!$C$8/2),2)*2+MOD(J6*2+Mo_Phong_Tung_Buoc!$C$8,2)), J6*2)</f>
        <v/>
      </c>
      <c r="L6" s="17">
        <f>IF(K6*2&gt;=16, (MOD(INT(K6*2/16)+INT(Mo_Phong_Tung_Buoc!$C$8/16),2)*16+MOD(INT(K6*2/8)+INT(Mo_Phong_Tung_Buoc!$C$8/8),2)*8+MOD(INT(K6*2/4)+INT(Mo_Phong_Tung_Buoc!$C$8/4),2)*4+MOD(INT(K6*2/2)+INT(Mo_Phong_Tung_Buoc!$C$8/2),2)*2+MOD(K6*2+Mo_Phong_Tung_Buoc!$C$8,2)), K6*2)</f>
        <v/>
      </c>
    </row>
    <row r="7" ht="21" customHeight="1">
      <c r="A7" s="14" t="n">
        <v>2</v>
      </c>
      <c r="B7" s="15" t="inlineStr">
        <is>
          <t>0x2</t>
        </is>
      </c>
      <c r="C7" s="15">
        <f>MOD(INT(A7/8),2)&amp;MOD(INT(A7/4),2)&amp;MOD(INT(A7/2),2)&amp;MOD(A7,2)</f>
        <v/>
      </c>
      <c r="D7" s="6" t="inlineStr">
        <is>
          <t>x</t>
        </is>
      </c>
      <c r="E7" s="14" t="n">
        <v>1</v>
      </c>
      <c r="F7" s="15" t="inlineStr">
        <is>
          <t>g^1</t>
        </is>
      </c>
      <c r="G7" s="14">
        <f>MATCH(1, Bang_Nhan_16x16!C8:R8, 0)-1</f>
        <v/>
      </c>
      <c r="H7" s="6">
        <f>INDEX($D$5:$D$20, G7+1)</f>
        <v/>
      </c>
      <c r="I7" s="14">
        <f>A7</f>
        <v/>
      </c>
      <c r="J7" s="14">
        <f>IF(I7*2&gt;=16, (MOD(INT(I7*2/16)+INT(Mo_Phong_Tung_Buoc!$C$8/16),2)*16+MOD(INT(I7*2/8)+INT(Mo_Phong_Tung_Buoc!$C$8/8),2)*8+MOD(INT(I7*2/4)+INT(Mo_Phong_Tung_Buoc!$C$8/4),2)*4+MOD(INT(I7*2/2)+INT(Mo_Phong_Tung_Buoc!$C$8/2),2)*2+MOD(I7*2+Mo_Phong_Tung_Buoc!$C$8,2)), I7*2)</f>
        <v/>
      </c>
      <c r="K7" s="14">
        <f>IF(J7*2&gt;=16, (MOD(INT(J7*2/16)+INT(Mo_Phong_Tung_Buoc!$C$8/16),2)*16+MOD(INT(J7*2/8)+INT(Mo_Phong_Tung_Buoc!$C$8/8),2)*8+MOD(INT(J7*2/4)+INT(Mo_Phong_Tung_Buoc!$C$8/4),2)*4+MOD(INT(J7*2/2)+INT(Mo_Phong_Tung_Buoc!$C$8/2),2)*2+MOD(J7*2+Mo_Phong_Tung_Buoc!$C$8,2)), J7*2)</f>
        <v/>
      </c>
      <c r="L7" s="14">
        <f>IF(K7*2&gt;=16, (MOD(INT(K7*2/16)+INT(Mo_Phong_Tung_Buoc!$C$8/16),2)*16+MOD(INT(K7*2/8)+INT(Mo_Phong_Tung_Buoc!$C$8/8),2)*8+MOD(INT(K7*2/4)+INT(Mo_Phong_Tung_Buoc!$C$8/4),2)*4+MOD(INT(K7*2/2)+INT(Mo_Phong_Tung_Buoc!$C$8/2),2)*2+MOD(K7*2+Mo_Phong_Tung_Buoc!$C$8,2)), K7*2)</f>
        <v/>
      </c>
    </row>
    <row r="8" ht="21" customHeight="1">
      <c r="A8" s="17" t="n">
        <v>3</v>
      </c>
      <c r="B8" s="18" t="inlineStr">
        <is>
          <t>0x3</t>
        </is>
      </c>
      <c r="C8" s="18">
        <f>MOD(INT(A8/8),2)&amp;MOD(INT(A8/4),2)&amp;MOD(INT(A8/2),2)&amp;MOD(A8,2)</f>
        <v/>
      </c>
      <c r="D8" s="19" t="inlineStr">
        <is>
          <t>x + 1</t>
        </is>
      </c>
      <c r="E8" s="17" t="n">
        <v>1</v>
      </c>
      <c r="F8" s="18" t="inlineStr">
        <is>
          <t>g^4</t>
        </is>
      </c>
      <c r="G8" s="17">
        <f>MATCH(1, Bang_Nhan_16x16!C9:R9, 0)-1</f>
        <v/>
      </c>
      <c r="H8" s="19">
        <f>INDEX($D$5:$D$20, G8+1)</f>
        <v/>
      </c>
      <c r="I8" s="17">
        <f>A8</f>
        <v/>
      </c>
      <c r="J8" s="17">
        <f>IF(I8*2&gt;=16, (MOD(INT(I8*2/16)+INT(Mo_Phong_Tung_Buoc!$C$8/16),2)*16+MOD(INT(I8*2/8)+INT(Mo_Phong_Tung_Buoc!$C$8/8),2)*8+MOD(INT(I8*2/4)+INT(Mo_Phong_Tung_Buoc!$C$8/4),2)*4+MOD(INT(I8*2/2)+INT(Mo_Phong_Tung_Buoc!$C$8/2),2)*2+MOD(I8*2+Mo_Phong_Tung_Buoc!$C$8,2)), I8*2)</f>
        <v/>
      </c>
      <c r="K8" s="17">
        <f>IF(J8*2&gt;=16, (MOD(INT(J8*2/16)+INT(Mo_Phong_Tung_Buoc!$C$8/16),2)*16+MOD(INT(J8*2/8)+INT(Mo_Phong_Tung_Buoc!$C$8/8),2)*8+MOD(INT(J8*2/4)+INT(Mo_Phong_Tung_Buoc!$C$8/4),2)*4+MOD(INT(J8*2/2)+INT(Mo_Phong_Tung_Buoc!$C$8/2),2)*2+MOD(J8*2+Mo_Phong_Tung_Buoc!$C$8,2)), J8*2)</f>
        <v/>
      </c>
      <c r="L8" s="17">
        <f>IF(K8*2&gt;=16, (MOD(INT(K8*2/16)+INT(Mo_Phong_Tung_Buoc!$C$8/16),2)*16+MOD(INT(K8*2/8)+INT(Mo_Phong_Tung_Buoc!$C$8/8),2)*8+MOD(INT(K8*2/4)+INT(Mo_Phong_Tung_Buoc!$C$8/4),2)*4+MOD(INT(K8*2/2)+INT(Mo_Phong_Tung_Buoc!$C$8/2),2)*2+MOD(K8*2+Mo_Phong_Tung_Buoc!$C$8,2)), K8*2)</f>
        <v/>
      </c>
    </row>
    <row r="9" ht="21" customHeight="1">
      <c r="A9" s="14" t="n">
        <v>4</v>
      </c>
      <c r="B9" s="15" t="inlineStr">
        <is>
          <t>0x4</t>
        </is>
      </c>
      <c r="C9" s="15">
        <f>MOD(INT(A9/8),2)&amp;MOD(INT(A9/4),2)&amp;MOD(INT(A9/2),2)&amp;MOD(A9,2)</f>
        <v/>
      </c>
      <c r="D9" s="6" t="inlineStr">
        <is>
          <t>x^2</t>
        </is>
      </c>
      <c r="E9" s="14" t="n">
        <v>2</v>
      </c>
      <c r="F9" s="15" t="inlineStr">
        <is>
          <t>g^2</t>
        </is>
      </c>
      <c r="G9" s="14">
        <f>MATCH(1, Bang_Nhan_16x16!C10:R10, 0)-1</f>
        <v/>
      </c>
      <c r="H9" s="6">
        <f>INDEX($D$5:$D$20, G9+1)</f>
        <v/>
      </c>
      <c r="I9" s="14">
        <f>A9</f>
        <v/>
      </c>
      <c r="J9" s="14">
        <f>IF(I9*2&gt;=16, (MOD(INT(I9*2/16)+INT(Mo_Phong_Tung_Buoc!$C$8/16),2)*16+MOD(INT(I9*2/8)+INT(Mo_Phong_Tung_Buoc!$C$8/8),2)*8+MOD(INT(I9*2/4)+INT(Mo_Phong_Tung_Buoc!$C$8/4),2)*4+MOD(INT(I9*2/2)+INT(Mo_Phong_Tung_Buoc!$C$8/2),2)*2+MOD(I9*2+Mo_Phong_Tung_Buoc!$C$8,2)), I9*2)</f>
        <v/>
      </c>
      <c r="K9" s="14">
        <f>IF(J9*2&gt;=16, (MOD(INT(J9*2/16)+INT(Mo_Phong_Tung_Buoc!$C$8/16),2)*16+MOD(INT(J9*2/8)+INT(Mo_Phong_Tung_Buoc!$C$8/8),2)*8+MOD(INT(J9*2/4)+INT(Mo_Phong_Tung_Buoc!$C$8/4),2)*4+MOD(INT(J9*2/2)+INT(Mo_Phong_Tung_Buoc!$C$8/2),2)*2+MOD(J9*2+Mo_Phong_Tung_Buoc!$C$8,2)), J9*2)</f>
        <v/>
      </c>
      <c r="L9" s="14">
        <f>IF(K9*2&gt;=16, (MOD(INT(K9*2/16)+INT(Mo_Phong_Tung_Buoc!$C$8/16),2)*16+MOD(INT(K9*2/8)+INT(Mo_Phong_Tung_Buoc!$C$8/8),2)*8+MOD(INT(K9*2/4)+INT(Mo_Phong_Tung_Buoc!$C$8/4),2)*4+MOD(INT(K9*2/2)+INT(Mo_Phong_Tung_Buoc!$C$8/2),2)*2+MOD(K9*2+Mo_Phong_Tung_Buoc!$C$8,2)), K9*2)</f>
        <v/>
      </c>
    </row>
    <row r="10" ht="21" customHeight="1">
      <c r="A10" s="17" t="n">
        <v>5</v>
      </c>
      <c r="B10" s="18" t="inlineStr">
        <is>
          <t>0x5</t>
        </is>
      </c>
      <c r="C10" s="18">
        <f>MOD(INT(A10/8),2)&amp;MOD(INT(A10/4),2)&amp;MOD(INT(A10/2),2)&amp;MOD(A10,2)</f>
        <v/>
      </c>
      <c r="D10" s="19" t="inlineStr">
        <is>
          <t>x^2 + 1</t>
        </is>
      </c>
      <c r="E10" s="17" t="n">
        <v>2</v>
      </c>
      <c r="F10" s="18" t="inlineStr">
        <is>
          <t>g^8</t>
        </is>
      </c>
      <c r="G10" s="17">
        <f>MATCH(1, Bang_Nhan_16x16!C11:R11, 0)-1</f>
        <v/>
      </c>
      <c r="H10" s="19">
        <f>INDEX($D$5:$D$20, G10+1)</f>
        <v/>
      </c>
      <c r="I10" s="17">
        <f>A10</f>
        <v/>
      </c>
      <c r="J10" s="17">
        <f>IF(I10*2&gt;=16, (MOD(INT(I10*2/16)+INT(Mo_Phong_Tung_Buoc!$C$8/16),2)*16+MOD(INT(I10*2/8)+INT(Mo_Phong_Tung_Buoc!$C$8/8),2)*8+MOD(INT(I10*2/4)+INT(Mo_Phong_Tung_Buoc!$C$8/4),2)*4+MOD(INT(I10*2/2)+INT(Mo_Phong_Tung_Buoc!$C$8/2),2)*2+MOD(I10*2+Mo_Phong_Tung_Buoc!$C$8,2)), I10*2)</f>
        <v/>
      </c>
      <c r="K10" s="17">
        <f>IF(J10*2&gt;=16, (MOD(INT(J10*2/16)+INT(Mo_Phong_Tung_Buoc!$C$8/16),2)*16+MOD(INT(J10*2/8)+INT(Mo_Phong_Tung_Buoc!$C$8/8),2)*8+MOD(INT(J10*2/4)+INT(Mo_Phong_Tung_Buoc!$C$8/4),2)*4+MOD(INT(J10*2/2)+INT(Mo_Phong_Tung_Buoc!$C$8/2),2)*2+MOD(J10*2+Mo_Phong_Tung_Buoc!$C$8,2)), J10*2)</f>
        <v/>
      </c>
      <c r="L10" s="17">
        <f>IF(K10*2&gt;=16, (MOD(INT(K10*2/16)+INT(Mo_Phong_Tung_Buoc!$C$8/16),2)*16+MOD(INT(K10*2/8)+INT(Mo_Phong_Tung_Buoc!$C$8/8),2)*8+MOD(INT(K10*2/4)+INT(Mo_Phong_Tung_Buoc!$C$8/4),2)*4+MOD(INT(K10*2/2)+INT(Mo_Phong_Tung_Buoc!$C$8/2),2)*2+MOD(K10*2+Mo_Phong_Tung_Buoc!$C$8,2)), K10*2)</f>
        <v/>
      </c>
    </row>
    <row r="11" ht="21" customHeight="1">
      <c r="A11" s="14" t="n">
        <v>6</v>
      </c>
      <c r="B11" s="15" t="inlineStr">
        <is>
          <t>0x6</t>
        </is>
      </c>
      <c r="C11" s="15">
        <f>MOD(INT(A11/8),2)&amp;MOD(INT(A11/4),2)&amp;MOD(INT(A11/2),2)&amp;MOD(A11,2)</f>
        <v/>
      </c>
      <c r="D11" s="6" t="inlineStr">
        <is>
          <t>x^2 + x</t>
        </is>
      </c>
      <c r="E11" s="14" t="n">
        <v>2</v>
      </c>
      <c r="F11" s="15" t="inlineStr">
        <is>
          <t>g^5</t>
        </is>
      </c>
      <c r="G11" s="14">
        <f>MATCH(1, Bang_Nhan_16x16!C12:R12, 0)-1</f>
        <v/>
      </c>
      <c r="H11" s="6">
        <f>INDEX($D$5:$D$20, G11+1)</f>
        <v/>
      </c>
      <c r="I11" s="14">
        <f>A11</f>
        <v/>
      </c>
      <c r="J11" s="14">
        <f>IF(I11*2&gt;=16, (MOD(INT(I11*2/16)+INT(Mo_Phong_Tung_Buoc!$C$8/16),2)*16+MOD(INT(I11*2/8)+INT(Mo_Phong_Tung_Buoc!$C$8/8),2)*8+MOD(INT(I11*2/4)+INT(Mo_Phong_Tung_Buoc!$C$8/4),2)*4+MOD(INT(I11*2/2)+INT(Mo_Phong_Tung_Buoc!$C$8/2),2)*2+MOD(I11*2+Mo_Phong_Tung_Buoc!$C$8,2)), I11*2)</f>
        <v/>
      </c>
      <c r="K11" s="14">
        <f>IF(J11*2&gt;=16, (MOD(INT(J11*2/16)+INT(Mo_Phong_Tung_Buoc!$C$8/16),2)*16+MOD(INT(J11*2/8)+INT(Mo_Phong_Tung_Buoc!$C$8/8),2)*8+MOD(INT(J11*2/4)+INT(Mo_Phong_Tung_Buoc!$C$8/4),2)*4+MOD(INT(J11*2/2)+INT(Mo_Phong_Tung_Buoc!$C$8/2),2)*2+MOD(J11*2+Mo_Phong_Tung_Buoc!$C$8,2)), J11*2)</f>
        <v/>
      </c>
      <c r="L11" s="14">
        <f>IF(K11*2&gt;=16, (MOD(INT(K11*2/16)+INT(Mo_Phong_Tung_Buoc!$C$8/16),2)*16+MOD(INT(K11*2/8)+INT(Mo_Phong_Tung_Buoc!$C$8/8),2)*8+MOD(INT(K11*2/4)+INT(Mo_Phong_Tung_Buoc!$C$8/4),2)*4+MOD(INT(K11*2/2)+INT(Mo_Phong_Tung_Buoc!$C$8/2),2)*2+MOD(K11*2+Mo_Phong_Tung_Buoc!$C$8,2)), K11*2)</f>
        <v/>
      </c>
    </row>
    <row r="12" ht="21" customHeight="1">
      <c r="A12" s="17" t="n">
        <v>7</v>
      </c>
      <c r="B12" s="18" t="inlineStr">
        <is>
          <t>0x7</t>
        </is>
      </c>
      <c r="C12" s="18">
        <f>MOD(INT(A12/8),2)&amp;MOD(INT(A12/4),2)&amp;MOD(INT(A12/2),2)&amp;MOD(A12,2)</f>
        <v/>
      </c>
      <c r="D12" s="19" t="inlineStr">
        <is>
          <t>x^2 + x + 1</t>
        </is>
      </c>
      <c r="E12" s="17" t="n">
        <v>2</v>
      </c>
      <c r="F12" s="18" t="inlineStr">
        <is>
          <t>g^10</t>
        </is>
      </c>
      <c r="G12" s="17">
        <f>MATCH(1, Bang_Nhan_16x16!C13:R13, 0)-1</f>
        <v/>
      </c>
      <c r="H12" s="19">
        <f>INDEX($D$5:$D$20, G12+1)</f>
        <v/>
      </c>
      <c r="I12" s="17">
        <f>A12</f>
        <v/>
      </c>
      <c r="J12" s="17">
        <f>IF(I12*2&gt;=16, (MOD(INT(I12*2/16)+INT(Mo_Phong_Tung_Buoc!$C$8/16),2)*16+MOD(INT(I12*2/8)+INT(Mo_Phong_Tung_Buoc!$C$8/8),2)*8+MOD(INT(I12*2/4)+INT(Mo_Phong_Tung_Buoc!$C$8/4),2)*4+MOD(INT(I12*2/2)+INT(Mo_Phong_Tung_Buoc!$C$8/2),2)*2+MOD(I12*2+Mo_Phong_Tung_Buoc!$C$8,2)), I12*2)</f>
        <v/>
      </c>
      <c r="K12" s="17">
        <f>IF(J12*2&gt;=16, (MOD(INT(J12*2/16)+INT(Mo_Phong_Tung_Buoc!$C$8/16),2)*16+MOD(INT(J12*2/8)+INT(Mo_Phong_Tung_Buoc!$C$8/8),2)*8+MOD(INT(J12*2/4)+INT(Mo_Phong_Tung_Buoc!$C$8/4),2)*4+MOD(INT(J12*2/2)+INT(Mo_Phong_Tung_Buoc!$C$8/2),2)*2+MOD(J12*2+Mo_Phong_Tung_Buoc!$C$8,2)), J12*2)</f>
        <v/>
      </c>
      <c r="L12" s="17">
        <f>IF(K12*2&gt;=16, (MOD(INT(K12*2/16)+INT(Mo_Phong_Tung_Buoc!$C$8/16),2)*16+MOD(INT(K12*2/8)+INT(Mo_Phong_Tung_Buoc!$C$8/8),2)*8+MOD(INT(K12*2/4)+INT(Mo_Phong_Tung_Buoc!$C$8/4),2)*4+MOD(INT(K12*2/2)+INT(Mo_Phong_Tung_Buoc!$C$8/2),2)*2+MOD(K12*2+Mo_Phong_Tung_Buoc!$C$8,2)), K12*2)</f>
        <v/>
      </c>
    </row>
    <row r="13" ht="21" customHeight="1">
      <c r="A13" s="14" t="n">
        <v>8</v>
      </c>
      <c r="B13" s="15" t="inlineStr">
        <is>
          <t>0x8</t>
        </is>
      </c>
      <c r="C13" s="15">
        <f>MOD(INT(A13/8),2)&amp;MOD(INT(A13/4),2)&amp;MOD(INT(A13/2),2)&amp;MOD(A13,2)</f>
        <v/>
      </c>
      <c r="D13" s="6" t="inlineStr">
        <is>
          <t>x^3</t>
        </is>
      </c>
      <c r="E13" s="14" t="n">
        <v>3</v>
      </c>
      <c r="F13" s="15" t="inlineStr">
        <is>
          <t>g^3</t>
        </is>
      </c>
      <c r="G13" s="14">
        <f>MATCH(1, Bang_Nhan_16x16!C14:R14, 0)-1</f>
        <v/>
      </c>
      <c r="H13" s="6">
        <f>INDEX($D$5:$D$20, G13+1)</f>
        <v/>
      </c>
      <c r="I13" s="14">
        <f>A13</f>
        <v/>
      </c>
      <c r="J13" s="14">
        <f>IF(I13*2&gt;=16, (MOD(INT(I13*2/16)+INT(Mo_Phong_Tung_Buoc!$C$8/16),2)*16+MOD(INT(I13*2/8)+INT(Mo_Phong_Tung_Buoc!$C$8/8),2)*8+MOD(INT(I13*2/4)+INT(Mo_Phong_Tung_Buoc!$C$8/4),2)*4+MOD(INT(I13*2/2)+INT(Mo_Phong_Tung_Buoc!$C$8/2),2)*2+MOD(I13*2+Mo_Phong_Tung_Buoc!$C$8,2)), I13*2)</f>
        <v/>
      </c>
      <c r="K13" s="14">
        <f>IF(J13*2&gt;=16, (MOD(INT(J13*2/16)+INT(Mo_Phong_Tung_Buoc!$C$8/16),2)*16+MOD(INT(J13*2/8)+INT(Mo_Phong_Tung_Buoc!$C$8/8),2)*8+MOD(INT(J13*2/4)+INT(Mo_Phong_Tung_Buoc!$C$8/4),2)*4+MOD(INT(J13*2/2)+INT(Mo_Phong_Tung_Buoc!$C$8/2),2)*2+MOD(J13*2+Mo_Phong_Tung_Buoc!$C$8,2)), J13*2)</f>
        <v/>
      </c>
      <c r="L13" s="14">
        <f>IF(K13*2&gt;=16, (MOD(INT(K13*2/16)+INT(Mo_Phong_Tung_Buoc!$C$8/16),2)*16+MOD(INT(K13*2/8)+INT(Mo_Phong_Tung_Buoc!$C$8/8),2)*8+MOD(INT(K13*2/4)+INT(Mo_Phong_Tung_Buoc!$C$8/4),2)*4+MOD(INT(K13*2/2)+INT(Mo_Phong_Tung_Buoc!$C$8/2),2)*2+MOD(K13*2+Mo_Phong_Tung_Buoc!$C$8,2)), K13*2)</f>
        <v/>
      </c>
    </row>
    <row r="14" ht="21" customHeight="1">
      <c r="A14" s="17" t="n">
        <v>9</v>
      </c>
      <c r="B14" s="18" t="inlineStr">
        <is>
          <t>0x9</t>
        </is>
      </c>
      <c r="C14" s="18">
        <f>MOD(INT(A14/8),2)&amp;MOD(INT(A14/4),2)&amp;MOD(INT(A14/2),2)&amp;MOD(A14,2)</f>
        <v/>
      </c>
      <c r="D14" s="19" t="inlineStr">
        <is>
          <t>x^3 + 1</t>
        </is>
      </c>
      <c r="E14" s="17" t="n">
        <v>3</v>
      </c>
      <c r="F14" s="18" t="inlineStr">
        <is>
          <t>g^14</t>
        </is>
      </c>
      <c r="G14" s="17">
        <f>MATCH(1, Bang_Nhan_16x16!C15:R15, 0)-1</f>
        <v/>
      </c>
      <c r="H14" s="19">
        <f>INDEX($D$5:$D$20, G14+1)</f>
        <v/>
      </c>
      <c r="I14" s="17">
        <f>A14</f>
        <v/>
      </c>
      <c r="J14" s="17">
        <f>IF(I14*2&gt;=16, (MOD(INT(I14*2/16)+INT(Mo_Phong_Tung_Buoc!$C$8/16),2)*16+MOD(INT(I14*2/8)+INT(Mo_Phong_Tung_Buoc!$C$8/8),2)*8+MOD(INT(I14*2/4)+INT(Mo_Phong_Tung_Buoc!$C$8/4),2)*4+MOD(INT(I14*2/2)+INT(Mo_Phong_Tung_Buoc!$C$8/2),2)*2+MOD(I14*2+Mo_Phong_Tung_Buoc!$C$8,2)), I14*2)</f>
        <v/>
      </c>
      <c r="K14" s="17">
        <f>IF(J14*2&gt;=16, (MOD(INT(J14*2/16)+INT(Mo_Phong_Tung_Buoc!$C$8/16),2)*16+MOD(INT(J14*2/8)+INT(Mo_Phong_Tung_Buoc!$C$8/8),2)*8+MOD(INT(J14*2/4)+INT(Mo_Phong_Tung_Buoc!$C$8/4),2)*4+MOD(INT(J14*2/2)+INT(Mo_Phong_Tung_Buoc!$C$8/2),2)*2+MOD(J14*2+Mo_Phong_Tung_Buoc!$C$8,2)), J14*2)</f>
        <v/>
      </c>
      <c r="L14" s="17">
        <f>IF(K14*2&gt;=16, (MOD(INT(K14*2/16)+INT(Mo_Phong_Tung_Buoc!$C$8/16),2)*16+MOD(INT(K14*2/8)+INT(Mo_Phong_Tung_Buoc!$C$8/8),2)*8+MOD(INT(K14*2/4)+INT(Mo_Phong_Tung_Buoc!$C$8/4),2)*4+MOD(INT(K14*2/2)+INT(Mo_Phong_Tung_Buoc!$C$8/2),2)*2+MOD(K14*2+Mo_Phong_Tung_Buoc!$C$8,2)), K14*2)</f>
        <v/>
      </c>
    </row>
    <row r="15" ht="21" customHeight="1">
      <c r="A15" s="14" t="n">
        <v>10</v>
      </c>
      <c r="B15" s="15" t="inlineStr">
        <is>
          <t>0xA</t>
        </is>
      </c>
      <c r="C15" s="15">
        <f>MOD(INT(A15/8),2)&amp;MOD(INT(A15/4),2)&amp;MOD(INT(A15/2),2)&amp;MOD(A15,2)</f>
        <v/>
      </c>
      <c r="D15" s="6" t="inlineStr">
        <is>
          <t>x^3 + x</t>
        </is>
      </c>
      <c r="E15" s="14" t="n">
        <v>3</v>
      </c>
      <c r="F15" s="15" t="inlineStr">
        <is>
          <t>g^9</t>
        </is>
      </c>
      <c r="G15" s="14">
        <f>MATCH(1, Bang_Nhan_16x16!C16:R16, 0)-1</f>
        <v/>
      </c>
      <c r="H15" s="6">
        <f>INDEX($D$5:$D$20, G15+1)</f>
        <v/>
      </c>
      <c r="I15" s="14">
        <f>A15</f>
        <v/>
      </c>
      <c r="J15" s="14">
        <f>IF(I15*2&gt;=16, (MOD(INT(I15*2/16)+INT(Mo_Phong_Tung_Buoc!$C$8/16),2)*16+MOD(INT(I15*2/8)+INT(Mo_Phong_Tung_Buoc!$C$8/8),2)*8+MOD(INT(I15*2/4)+INT(Mo_Phong_Tung_Buoc!$C$8/4),2)*4+MOD(INT(I15*2/2)+INT(Mo_Phong_Tung_Buoc!$C$8/2),2)*2+MOD(I15*2+Mo_Phong_Tung_Buoc!$C$8,2)), I15*2)</f>
        <v/>
      </c>
      <c r="K15" s="14">
        <f>IF(J15*2&gt;=16, (MOD(INT(J15*2/16)+INT(Mo_Phong_Tung_Buoc!$C$8/16),2)*16+MOD(INT(J15*2/8)+INT(Mo_Phong_Tung_Buoc!$C$8/8),2)*8+MOD(INT(J15*2/4)+INT(Mo_Phong_Tung_Buoc!$C$8/4),2)*4+MOD(INT(J15*2/2)+INT(Mo_Phong_Tung_Buoc!$C$8/2),2)*2+MOD(J15*2+Mo_Phong_Tung_Buoc!$C$8,2)), J15*2)</f>
        <v/>
      </c>
      <c r="L15" s="14">
        <f>IF(K15*2&gt;=16, (MOD(INT(K15*2/16)+INT(Mo_Phong_Tung_Buoc!$C$8/16),2)*16+MOD(INT(K15*2/8)+INT(Mo_Phong_Tung_Buoc!$C$8/8),2)*8+MOD(INT(K15*2/4)+INT(Mo_Phong_Tung_Buoc!$C$8/4),2)*4+MOD(INT(K15*2/2)+INT(Mo_Phong_Tung_Buoc!$C$8/2),2)*2+MOD(K15*2+Mo_Phong_Tung_Buoc!$C$8,2)), K15*2)</f>
        <v/>
      </c>
    </row>
    <row r="16" ht="21" customHeight="1">
      <c r="A16" s="17" t="n">
        <v>11</v>
      </c>
      <c r="B16" s="18" t="inlineStr">
        <is>
          <t>0xB</t>
        </is>
      </c>
      <c r="C16" s="18">
        <f>MOD(INT(A16/8),2)&amp;MOD(INT(A16/4),2)&amp;MOD(INT(A16/2),2)&amp;MOD(A16,2)</f>
        <v/>
      </c>
      <c r="D16" s="19" t="inlineStr">
        <is>
          <t>x^3 + x + 1</t>
        </is>
      </c>
      <c r="E16" s="17" t="n">
        <v>3</v>
      </c>
      <c r="F16" s="18" t="inlineStr">
        <is>
          <t>g^7</t>
        </is>
      </c>
      <c r="G16" s="17">
        <f>MATCH(1, Bang_Nhan_16x16!C17:R17, 0)-1</f>
        <v/>
      </c>
      <c r="H16" s="19">
        <f>INDEX($D$5:$D$20, G16+1)</f>
        <v/>
      </c>
      <c r="I16" s="17">
        <f>A16</f>
        <v/>
      </c>
      <c r="J16" s="17">
        <f>IF(I16*2&gt;=16, (MOD(INT(I16*2/16)+INT(Mo_Phong_Tung_Buoc!$C$8/16),2)*16+MOD(INT(I16*2/8)+INT(Mo_Phong_Tung_Buoc!$C$8/8),2)*8+MOD(INT(I16*2/4)+INT(Mo_Phong_Tung_Buoc!$C$8/4),2)*4+MOD(INT(I16*2/2)+INT(Mo_Phong_Tung_Buoc!$C$8/2),2)*2+MOD(I16*2+Mo_Phong_Tung_Buoc!$C$8,2)), I16*2)</f>
        <v/>
      </c>
      <c r="K16" s="17">
        <f>IF(J16*2&gt;=16, (MOD(INT(J16*2/16)+INT(Mo_Phong_Tung_Buoc!$C$8/16),2)*16+MOD(INT(J16*2/8)+INT(Mo_Phong_Tung_Buoc!$C$8/8),2)*8+MOD(INT(J16*2/4)+INT(Mo_Phong_Tung_Buoc!$C$8/4),2)*4+MOD(INT(J16*2/2)+INT(Mo_Phong_Tung_Buoc!$C$8/2),2)*2+MOD(J16*2+Mo_Phong_Tung_Buoc!$C$8,2)), J16*2)</f>
        <v/>
      </c>
      <c r="L16" s="17">
        <f>IF(K16*2&gt;=16, (MOD(INT(K16*2/16)+INT(Mo_Phong_Tung_Buoc!$C$8/16),2)*16+MOD(INT(K16*2/8)+INT(Mo_Phong_Tung_Buoc!$C$8/8),2)*8+MOD(INT(K16*2/4)+INT(Mo_Phong_Tung_Buoc!$C$8/4),2)*4+MOD(INT(K16*2/2)+INT(Mo_Phong_Tung_Buoc!$C$8/2),2)*2+MOD(K16*2+Mo_Phong_Tung_Buoc!$C$8,2)), K16*2)</f>
        <v/>
      </c>
    </row>
    <row r="17" ht="21" customHeight="1">
      <c r="A17" s="14" t="n">
        <v>12</v>
      </c>
      <c r="B17" s="15" t="inlineStr">
        <is>
          <t>0xC</t>
        </is>
      </c>
      <c r="C17" s="15">
        <f>MOD(INT(A17/8),2)&amp;MOD(INT(A17/4),2)&amp;MOD(INT(A17/2),2)&amp;MOD(A17,2)</f>
        <v/>
      </c>
      <c r="D17" s="6" t="inlineStr">
        <is>
          <t>x^3 + x^2</t>
        </is>
      </c>
      <c r="E17" s="14" t="n">
        <v>3</v>
      </c>
      <c r="F17" s="15" t="inlineStr">
        <is>
          <t>g^6</t>
        </is>
      </c>
      <c r="G17" s="14">
        <f>MATCH(1, Bang_Nhan_16x16!C18:R18, 0)-1</f>
        <v/>
      </c>
      <c r="H17" s="6">
        <f>INDEX($D$5:$D$20, G17+1)</f>
        <v/>
      </c>
      <c r="I17" s="14">
        <f>A17</f>
        <v/>
      </c>
      <c r="J17" s="14">
        <f>IF(I17*2&gt;=16, (MOD(INT(I17*2/16)+INT(Mo_Phong_Tung_Buoc!$C$8/16),2)*16+MOD(INT(I17*2/8)+INT(Mo_Phong_Tung_Buoc!$C$8/8),2)*8+MOD(INT(I17*2/4)+INT(Mo_Phong_Tung_Buoc!$C$8/4),2)*4+MOD(INT(I17*2/2)+INT(Mo_Phong_Tung_Buoc!$C$8/2),2)*2+MOD(I17*2+Mo_Phong_Tung_Buoc!$C$8,2)), I17*2)</f>
        <v/>
      </c>
      <c r="K17" s="14">
        <f>IF(J17*2&gt;=16, (MOD(INT(J17*2/16)+INT(Mo_Phong_Tung_Buoc!$C$8/16),2)*16+MOD(INT(J17*2/8)+INT(Mo_Phong_Tung_Buoc!$C$8/8),2)*8+MOD(INT(J17*2/4)+INT(Mo_Phong_Tung_Buoc!$C$8/4),2)*4+MOD(INT(J17*2/2)+INT(Mo_Phong_Tung_Buoc!$C$8/2),2)*2+MOD(J17*2+Mo_Phong_Tung_Buoc!$C$8,2)), J17*2)</f>
        <v/>
      </c>
      <c r="L17" s="14">
        <f>IF(K17*2&gt;=16, (MOD(INT(K17*2/16)+INT(Mo_Phong_Tung_Buoc!$C$8/16),2)*16+MOD(INT(K17*2/8)+INT(Mo_Phong_Tung_Buoc!$C$8/8),2)*8+MOD(INT(K17*2/4)+INT(Mo_Phong_Tung_Buoc!$C$8/4),2)*4+MOD(INT(K17*2/2)+INT(Mo_Phong_Tung_Buoc!$C$8/2),2)*2+MOD(K17*2+Mo_Phong_Tung_Buoc!$C$8,2)), K17*2)</f>
        <v/>
      </c>
    </row>
    <row r="18" ht="21" customHeight="1">
      <c r="A18" s="17" t="n">
        <v>13</v>
      </c>
      <c r="B18" s="18" t="inlineStr">
        <is>
          <t>0xD</t>
        </is>
      </c>
      <c r="C18" s="18">
        <f>MOD(INT(A18/8),2)&amp;MOD(INT(A18/4),2)&amp;MOD(INT(A18/2),2)&amp;MOD(A18,2)</f>
        <v/>
      </c>
      <c r="D18" s="19" t="inlineStr">
        <is>
          <t>x^3 + x^2 + 1</t>
        </is>
      </c>
      <c r="E18" s="17" t="n">
        <v>3</v>
      </c>
      <c r="F18" s="18" t="inlineStr">
        <is>
          <t>g^13</t>
        </is>
      </c>
      <c r="G18" s="17">
        <f>MATCH(1, Bang_Nhan_16x16!C19:R19, 0)-1</f>
        <v/>
      </c>
      <c r="H18" s="19">
        <f>INDEX($D$5:$D$20, G18+1)</f>
        <v/>
      </c>
      <c r="I18" s="17">
        <f>A18</f>
        <v/>
      </c>
      <c r="J18" s="17">
        <f>IF(I18*2&gt;=16, (MOD(INT(I18*2/16)+INT(Mo_Phong_Tung_Buoc!$C$8/16),2)*16+MOD(INT(I18*2/8)+INT(Mo_Phong_Tung_Buoc!$C$8/8),2)*8+MOD(INT(I18*2/4)+INT(Mo_Phong_Tung_Buoc!$C$8/4),2)*4+MOD(INT(I18*2/2)+INT(Mo_Phong_Tung_Buoc!$C$8/2),2)*2+MOD(I18*2+Mo_Phong_Tung_Buoc!$C$8,2)), I18*2)</f>
        <v/>
      </c>
      <c r="K18" s="17">
        <f>IF(J18*2&gt;=16, (MOD(INT(J18*2/16)+INT(Mo_Phong_Tung_Buoc!$C$8/16),2)*16+MOD(INT(J18*2/8)+INT(Mo_Phong_Tung_Buoc!$C$8/8),2)*8+MOD(INT(J18*2/4)+INT(Mo_Phong_Tung_Buoc!$C$8/4),2)*4+MOD(INT(J18*2/2)+INT(Mo_Phong_Tung_Buoc!$C$8/2),2)*2+MOD(J18*2+Mo_Phong_Tung_Buoc!$C$8,2)), J18*2)</f>
        <v/>
      </c>
      <c r="L18" s="17">
        <f>IF(K18*2&gt;=16, (MOD(INT(K18*2/16)+INT(Mo_Phong_Tung_Buoc!$C$8/16),2)*16+MOD(INT(K18*2/8)+INT(Mo_Phong_Tung_Buoc!$C$8/8),2)*8+MOD(INT(K18*2/4)+INT(Mo_Phong_Tung_Buoc!$C$8/4),2)*4+MOD(INT(K18*2/2)+INT(Mo_Phong_Tung_Buoc!$C$8/2),2)*2+MOD(K18*2+Mo_Phong_Tung_Buoc!$C$8,2)), K18*2)</f>
        <v/>
      </c>
    </row>
    <row r="19" ht="21" customHeight="1">
      <c r="A19" s="14" t="n">
        <v>14</v>
      </c>
      <c r="B19" s="15" t="inlineStr">
        <is>
          <t>0xE</t>
        </is>
      </c>
      <c r="C19" s="15">
        <f>MOD(INT(A19/8),2)&amp;MOD(INT(A19/4),2)&amp;MOD(INT(A19/2),2)&amp;MOD(A19,2)</f>
        <v/>
      </c>
      <c r="D19" s="6" t="inlineStr">
        <is>
          <t>x^3 + x^2 + x</t>
        </is>
      </c>
      <c r="E19" s="14" t="n">
        <v>3</v>
      </c>
      <c r="F19" s="15" t="inlineStr">
        <is>
          <t>g^11</t>
        </is>
      </c>
      <c r="G19" s="14">
        <f>MATCH(1, Bang_Nhan_16x16!C20:R20, 0)-1</f>
        <v/>
      </c>
      <c r="H19" s="6">
        <f>INDEX($D$5:$D$20, G19+1)</f>
        <v/>
      </c>
      <c r="I19" s="14">
        <f>A19</f>
        <v/>
      </c>
      <c r="J19" s="14">
        <f>IF(I19*2&gt;=16, (MOD(INT(I19*2/16)+INT(Mo_Phong_Tung_Buoc!$C$8/16),2)*16+MOD(INT(I19*2/8)+INT(Mo_Phong_Tung_Buoc!$C$8/8),2)*8+MOD(INT(I19*2/4)+INT(Mo_Phong_Tung_Buoc!$C$8/4),2)*4+MOD(INT(I19*2/2)+INT(Mo_Phong_Tung_Buoc!$C$8/2),2)*2+MOD(I19*2+Mo_Phong_Tung_Buoc!$C$8,2)), I19*2)</f>
        <v/>
      </c>
      <c r="K19" s="14">
        <f>IF(J19*2&gt;=16, (MOD(INT(J19*2/16)+INT(Mo_Phong_Tung_Buoc!$C$8/16),2)*16+MOD(INT(J19*2/8)+INT(Mo_Phong_Tung_Buoc!$C$8/8),2)*8+MOD(INT(J19*2/4)+INT(Mo_Phong_Tung_Buoc!$C$8/4),2)*4+MOD(INT(J19*2/2)+INT(Mo_Phong_Tung_Buoc!$C$8/2),2)*2+MOD(J19*2+Mo_Phong_Tung_Buoc!$C$8,2)), J19*2)</f>
        <v/>
      </c>
      <c r="L19" s="14">
        <f>IF(K19*2&gt;=16, (MOD(INT(K19*2/16)+INT(Mo_Phong_Tung_Buoc!$C$8/16),2)*16+MOD(INT(K19*2/8)+INT(Mo_Phong_Tung_Buoc!$C$8/8),2)*8+MOD(INT(K19*2/4)+INT(Mo_Phong_Tung_Buoc!$C$8/4),2)*4+MOD(INT(K19*2/2)+INT(Mo_Phong_Tung_Buoc!$C$8/2),2)*2+MOD(K19*2+Mo_Phong_Tung_Buoc!$C$8,2)), K19*2)</f>
        <v/>
      </c>
    </row>
    <row r="20" ht="21" customHeight="1">
      <c r="A20" s="17" t="n">
        <v>15</v>
      </c>
      <c r="B20" s="18" t="inlineStr">
        <is>
          <t>0xF</t>
        </is>
      </c>
      <c r="C20" s="18">
        <f>MOD(INT(A20/8),2)&amp;MOD(INT(A20/4),2)&amp;MOD(INT(A20/2),2)&amp;MOD(A20,2)</f>
        <v/>
      </c>
      <c r="D20" s="19" t="inlineStr">
        <is>
          <t>x^3 + x^2 + x + 1</t>
        </is>
      </c>
      <c r="E20" s="17" t="n">
        <v>3</v>
      </c>
      <c r="F20" s="18" t="inlineStr">
        <is>
          <t>g^12</t>
        </is>
      </c>
      <c r="G20" s="17">
        <f>MATCH(1, Bang_Nhan_16x16!C21:R21, 0)-1</f>
        <v/>
      </c>
      <c r="H20" s="19">
        <f>INDEX($D$5:$D$20, G20+1)</f>
        <v/>
      </c>
      <c r="I20" s="17">
        <f>A20</f>
        <v/>
      </c>
      <c r="J20" s="17">
        <f>IF(I20*2&gt;=16, (MOD(INT(I20*2/16)+INT(Mo_Phong_Tung_Buoc!$C$8/16),2)*16+MOD(INT(I20*2/8)+INT(Mo_Phong_Tung_Buoc!$C$8/8),2)*8+MOD(INT(I20*2/4)+INT(Mo_Phong_Tung_Buoc!$C$8/4),2)*4+MOD(INT(I20*2/2)+INT(Mo_Phong_Tung_Buoc!$C$8/2),2)*2+MOD(I20*2+Mo_Phong_Tung_Buoc!$C$8,2)), I20*2)</f>
        <v/>
      </c>
      <c r="K20" s="17">
        <f>IF(J20*2&gt;=16, (MOD(INT(J20*2/16)+INT(Mo_Phong_Tung_Buoc!$C$8/16),2)*16+MOD(INT(J20*2/8)+INT(Mo_Phong_Tung_Buoc!$C$8/8),2)*8+MOD(INT(J20*2/4)+INT(Mo_Phong_Tung_Buoc!$C$8/4),2)*4+MOD(INT(J20*2/2)+INT(Mo_Phong_Tung_Buoc!$C$8/2),2)*2+MOD(J20*2+Mo_Phong_Tung_Buoc!$C$8,2)), J20*2)</f>
        <v/>
      </c>
      <c r="L20" s="17">
        <f>IF(K20*2&gt;=16, (MOD(INT(K20*2/16)+INT(Mo_Phong_Tung_Buoc!$C$8/16),2)*16+MOD(INT(K20*2/8)+INT(Mo_Phong_Tung_Buoc!$C$8/8),2)*8+MOD(INT(K20*2/4)+INT(Mo_Phong_Tung_Buoc!$C$8/4),2)*4+MOD(INT(K20*2/2)+INT(Mo_Phong_Tung_Buoc!$C$8/2),2)*2+MOD(K20*2+Mo_Phong_Tung_Buoc!$C$8,2)), K20*2)</f>
        <v/>
      </c>
    </row>
    <row r="22" ht="24" customHeight="1">
      <c r="A22" s="3" t="inlineStr">
        <is>
          <t>DANH SÁCH ĐA THỨC TỐI GIẢN (IRREDUCIBLE POLYNOMIALS) BẬC 4 TRÊN GF(2)</t>
        </is>
      </c>
    </row>
    <row r="23" ht="25" customHeight="1">
      <c r="A23" s="4" t="inlineStr">
        <is>
          <t>Thập phân</t>
        </is>
      </c>
      <c r="B23" s="4" t="inlineStr">
        <is>
          <t>Mã Hex</t>
        </is>
      </c>
      <c r="C23" s="4" t="inlineStr">
        <is>
          <t>Nhị phân (5-bit)</t>
        </is>
      </c>
      <c r="D23" s="4" t="inlineStr">
        <is>
          <t>Đa thức tối giản m(x)</t>
        </is>
      </c>
      <c r="E23" s="4" t="inlineStr">
        <is>
          <t>Quy tắc thế hạ bậc x^4</t>
        </is>
      </c>
      <c r="F23" s="4" t="inlineStr">
        <is>
          <t>Ghi chú</t>
        </is>
      </c>
    </row>
    <row r="24" ht="22" customHeight="1">
      <c r="A24" s="14" t="n">
        <v>19</v>
      </c>
      <c r="B24" s="15" t="inlineStr">
        <is>
          <t>0x13</t>
        </is>
      </c>
      <c r="C24" s="15">
        <f>MOD(INT(A24/16),2)&amp;MOD(INT(A24/8),2)&amp;MOD(INT(A24/4),2)&amp;MOD(INT(A24/2),2)&amp;MOD(A24,2)</f>
        <v/>
      </c>
      <c r="D24" s="6" t="inlineStr">
        <is>
          <t>x^4 + x + 1</t>
        </is>
      </c>
      <c r="E24" s="6" t="inlineStr">
        <is>
          <t>x^4 = x + 1 (0011)</t>
        </is>
      </c>
      <c r="F24" s="6" t="inlineStr">
        <is>
          <t>Đa thức tối giản chuẩn phổ biến nhất (dùng mặc định)</t>
        </is>
      </c>
    </row>
    <row r="25" ht="22" customHeight="1">
      <c r="A25" s="17" t="n">
        <v>25</v>
      </c>
      <c r="B25" s="18" t="inlineStr">
        <is>
          <t>0x19</t>
        </is>
      </c>
      <c r="C25" s="18">
        <f>MOD(INT(A25/16),2)&amp;MOD(INT(A25/8),2)&amp;MOD(INT(A25/4),2)&amp;MOD(INT(A25/2),2)&amp;MOD(A25,2)</f>
        <v/>
      </c>
      <c r="D25" s="19" t="inlineStr">
        <is>
          <t>x^4 + x^3 + 1</t>
        </is>
      </c>
      <c r="E25" s="19" t="inlineStr">
        <is>
          <t>x^4 = x^3 + 1 (1001)</t>
        </is>
      </c>
      <c r="F25" s="19" t="inlineStr">
        <is>
          <t>Đa thức tối giản nguyên thủy bậc 4 thay thế</t>
        </is>
      </c>
    </row>
    <row r="26" ht="22" customHeight="1">
      <c r="A26" s="14" t="n">
        <v>31</v>
      </c>
      <c r="B26" s="15" t="inlineStr">
        <is>
          <t>0x1F</t>
        </is>
      </c>
      <c r="C26" s="15">
        <f>MOD(INT(A26/16),2)&amp;MOD(INT(A26/8),2)&amp;MOD(INT(A26/4),2)&amp;MOD(INT(A26/2),2)&amp;MOD(A26,2)</f>
        <v/>
      </c>
      <c r="D26" s="6" t="inlineStr">
        <is>
          <t>x^4 + x^3 + x^2 + x + 1</t>
        </is>
      </c>
      <c r="E26" s="6" t="inlineStr">
        <is>
          <t>x^4 = x^3 + x^2 + x + 1 (1111)</t>
        </is>
      </c>
      <c r="F26" s="6" t="inlineStr">
        <is>
          <t>Đa thức bất khả quy bậc 4 (không phải đa thức nguyên thủy)</t>
        </is>
      </c>
    </row>
  </sheetData>
  <mergeCells count="3">
    <mergeCell ref="A2:L2"/>
    <mergeCell ref="A22:F2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2026-10-24T04:13:35Z</dcterms:created>
  <dcterms:modified xmlns:dcterms="http://purl.org/dc/terms/" xmlns:xsi="http://www.w3.org/2001/XMLSchema-instance" xsi:type="dcterms:W3CDTF">2026-10-24T04:13:35Z</dcterms:modified>
</cp:coreProperties>
</file>